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codeName="ThisWorkbook" defaultThemeVersion="124226"/>
  <xr:revisionPtr revIDLastSave="0" documentId="13_ncr:41000001_{4464224A-871A-D747-AE14-F3EB03CA0259}" xr6:coauthVersionLast="47" xr6:coauthVersionMax="47" xr10:uidLastSave="{00000000-0000-0000-0000-000000000000}"/>
  <bookViews>
    <workbookView xWindow="32760" yWindow="32760" windowWidth="20460" windowHeight="7455" firstSheet="3" activeTab="5" xr2:uid="{00000000-000D-0000-FFFF-FFFF00000000}"/>
  </bookViews>
  <sheets>
    <sheet name="sales on discount" sheetId="3" r:id="rId1"/>
    <sheet name="Sales in region and province" sheetId="4" r:id="rId2"/>
    <sheet name="Sales Of Product " sheetId="5" r:id="rId3"/>
    <sheet name="Total Sales In Customer segment" sheetId="6" r:id="rId4"/>
    <sheet name="Orders" sheetId="2" r:id="rId5"/>
    <sheet name="Dashboard Of Sales" sheetId="8" r:id="rId6"/>
  </sheets>
  <definedNames>
    <definedName name="_xlnm._FilterDatabase" localSheetId="4" hidden="1">Orders!$A$1:$S$1113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S2" i="2"/>
  <c r="B3" i="2"/>
  <c r="S3" i="2"/>
  <c r="B4" i="2"/>
  <c r="S4" i="2"/>
  <c r="B5" i="2"/>
  <c r="S5" i="2"/>
  <c r="B6" i="2"/>
  <c r="S6" i="2"/>
  <c r="B7" i="2"/>
  <c r="S7" i="2"/>
  <c r="B8" i="2"/>
  <c r="S8" i="2"/>
  <c r="B9" i="2"/>
  <c r="S9" i="2"/>
  <c r="B10" i="2"/>
  <c r="S10" i="2"/>
  <c r="B11" i="2"/>
  <c r="S11" i="2"/>
  <c r="B12" i="2"/>
  <c r="S12" i="2"/>
  <c r="B13" i="2"/>
  <c r="S13" i="2"/>
  <c r="B14" i="2"/>
  <c r="S14" i="2"/>
  <c r="B15" i="2"/>
  <c r="S15" i="2"/>
  <c r="B16" i="2"/>
  <c r="S16" i="2"/>
  <c r="B17" i="2"/>
  <c r="S17" i="2"/>
  <c r="B18" i="2"/>
  <c r="S18" i="2"/>
  <c r="B19" i="2"/>
  <c r="S19" i="2"/>
  <c r="B20" i="2"/>
  <c r="S20" i="2"/>
  <c r="B21" i="2"/>
  <c r="S21" i="2"/>
  <c r="B22" i="2"/>
  <c r="S22" i="2"/>
  <c r="B23" i="2"/>
  <c r="S23" i="2"/>
  <c r="B24" i="2"/>
  <c r="S24" i="2"/>
  <c r="B25" i="2"/>
  <c r="S25" i="2"/>
  <c r="B26" i="2"/>
  <c r="S26" i="2"/>
  <c r="B27" i="2"/>
  <c r="S27" i="2"/>
  <c r="B28" i="2"/>
  <c r="S28" i="2"/>
  <c r="B29" i="2"/>
  <c r="S29" i="2"/>
  <c r="B30" i="2"/>
  <c r="S30" i="2"/>
  <c r="B31" i="2"/>
  <c r="S31" i="2"/>
  <c r="B32" i="2"/>
  <c r="S32" i="2"/>
  <c r="B33" i="2"/>
  <c r="S33" i="2"/>
  <c r="B34" i="2"/>
  <c r="S34" i="2"/>
  <c r="B35" i="2"/>
  <c r="S35" i="2"/>
  <c r="B36" i="2"/>
  <c r="S36" i="2"/>
  <c r="B37" i="2"/>
  <c r="S37" i="2"/>
  <c r="B38" i="2"/>
  <c r="S38" i="2"/>
  <c r="B39" i="2"/>
  <c r="S39" i="2"/>
  <c r="B40" i="2"/>
  <c r="S40" i="2"/>
  <c r="B41" i="2"/>
  <c r="S41" i="2"/>
  <c r="B42" i="2"/>
  <c r="S42" i="2"/>
  <c r="B43" i="2"/>
  <c r="S43" i="2"/>
  <c r="B44" i="2"/>
  <c r="S44" i="2"/>
  <c r="B45" i="2"/>
  <c r="S45" i="2"/>
  <c r="B46" i="2"/>
  <c r="S46" i="2"/>
  <c r="B47" i="2"/>
  <c r="S47" i="2"/>
  <c r="B48" i="2"/>
  <c r="S48" i="2"/>
  <c r="B49" i="2"/>
  <c r="S49" i="2"/>
  <c r="B50" i="2"/>
  <c r="S50" i="2"/>
  <c r="B51" i="2"/>
  <c r="S51" i="2"/>
  <c r="B52" i="2"/>
  <c r="S52" i="2"/>
  <c r="B53" i="2"/>
  <c r="S53" i="2"/>
  <c r="B54" i="2"/>
  <c r="S54" i="2"/>
  <c r="B55" i="2"/>
  <c r="S55" i="2"/>
  <c r="B56" i="2"/>
  <c r="S56" i="2"/>
  <c r="B57" i="2"/>
  <c r="S57" i="2"/>
  <c r="B58" i="2"/>
  <c r="S58" i="2"/>
  <c r="B59" i="2"/>
  <c r="S59" i="2"/>
  <c r="B60" i="2"/>
  <c r="S60" i="2"/>
  <c r="B61" i="2"/>
  <c r="S61" i="2"/>
  <c r="B62" i="2"/>
  <c r="S62" i="2"/>
  <c r="B63" i="2"/>
  <c r="S63" i="2"/>
  <c r="B64" i="2"/>
  <c r="S64" i="2"/>
  <c r="B65" i="2"/>
  <c r="S65" i="2"/>
  <c r="B66" i="2"/>
  <c r="S66" i="2"/>
  <c r="B67" i="2"/>
  <c r="S67" i="2"/>
  <c r="B68" i="2"/>
  <c r="S68" i="2"/>
  <c r="B69" i="2"/>
  <c r="S69" i="2"/>
  <c r="B70" i="2"/>
  <c r="S70" i="2"/>
  <c r="B71" i="2"/>
  <c r="S71" i="2"/>
  <c r="B72" i="2"/>
  <c r="S72" i="2"/>
  <c r="B73" i="2"/>
  <c r="S73" i="2"/>
  <c r="B74" i="2"/>
  <c r="S74" i="2"/>
  <c r="B75" i="2"/>
  <c r="S75" i="2"/>
  <c r="B76" i="2"/>
  <c r="S76" i="2"/>
  <c r="B77" i="2"/>
  <c r="S77" i="2"/>
  <c r="B78" i="2"/>
  <c r="S78" i="2"/>
  <c r="B79" i="2"/>
  <c r="S79" i="2"/>
  <c r="B80" i="2"/>
  <c r="S80" i="2"/>
  <c r="B81" i="2"/>
  <c r="S81" i="2"/>
  <c r="B82" i="2"/>
  <c r="S82" i="2"/>
  <c r="B83" i="2"/>
  <c r="S83" i="2"/>
  <c r="B84" i="2"/>
  <c r="S84" i="2"/>
  <c r="B85" i="2"/>
  <c r="S85" i="2"/>
  <c r="B86" i="2"/>
  <c r="S86" i="2"/>
  <c r="B87" i="2"/>
  <c r="S87" i="2"/>
  <c r="B88" i="2"/>
  <c r="S88" i="2"/>
  <c r="B89" i="2"/>
  <c r="S89" i="2"/>
  <c r="B90" i="2"/>
  <c r="S90" i="2"/>
  <c r="B91" i="2"/>
  <c r="S91" i="2"/>
  <c r="B92" i="2"/>
  <c r="S92" i="2"/>
  <c r="B93" i="2"/>
  <c r="S93" i="2"/>
  <c r="B94" i="2"/>
  <c r="S94" i="2"/>
  <c r="B95" i="2"/>
  <c r="S95" i="2"/>
  <c r="B96" i="2"/>
  <c r="S96" i="2"/>
  <c r="B97" i="2"/>
  <c r="S97" i="2"/>
  <c r="B98" i="2"/>
  <c r="S98" i="2"/>
  <c r="B99" i="2"/>
  <c r="S99" i="2"/>
  <c r="B100" i="2"/>
  <c r="S100" i="2"/>
  <c r="B101" i="2"/>
  <c r="S101" i="2"/>
  <c r="B102" i="2"/>
  <c r="S102" i="2"/>
  <c r="B103" i="2"/>
  <c r="S103" i="2"/>
  <c r="B104" i="2"/>
  <c r="S104" i="2"/>
  <c r="B105" i="2"/>
  <c r="S105" i="2"/>
  <c r="B106" i="2"/>
  <c r="S106" i="2"/>
  <c r="B107" i="2"/>
  <c r="S107" i="2"/>
  <c r="B108" i="2"/>
  <c r="S108" i="2"/>
  <c r="B109" i="2"/>
  <c r="S109" i="2"/>
  <c r="B110" i="2"/>
  <c r="S110" i="2"/>
  <c r="B111" i="2"/>
  <c r="S111" i="2"/>
  <c r="B112" i="2"/>
  <c r="S112" i="2"/>
  <c r="B113" i="2"/>
  <c r="S113" i="2"/>
  <c r="B114" i="2"/>
  <c r="S114" i="2"/>
  <c r="B115" i="2"/>
  <c r="S115" i="2"/>
  <c r="B116" i="2"/>
  <c r="S116" i="2"/>
  <c r="B117" i="2"/>
  <c r="S117" i="2"/>
  <c r="B118" i="2"/>
  <c r="S118" i="2"/>
  <c r="B119" i="2"/>
  <c r="S119" i="2"/>
  <c r="B120" i="2"/>
  <c r="S120" i="2"/>
  <c r="B121" i="2"/>
  <c r="S121" i="2"/>
  <c r="B122" i="2"/>
  <c r="S122" i="2"/>
  <c r="B123" i="2"/>
  <c r="S123" i="2"/>
  <c r="B124" i="2"/>
  <c r="S124" i="2"/>
  <c r="B125" i="2"/>
  <c r="S125" i="2"/>
  <c r="B126" i="2"/>
  <c r="S126" i="2"/>
  <c r="B127" i="2"/>
  <c r="S127" i="2"/>
  <c r="B128" i="2"/>
  <c r="S128" i="2"/>
  <c r="B129" i="2"/>
  <c r="S129" i="2"/>
  <c r="B130" i="2"/>
  <c r="S130" i="2"/>
  <c r="B131" i="2"/>
  <c r="S131" i="2"/>
  <c r="B132" i="2"/>
  <c r="S132" i="2"/>
  <c r="B133" i="2"/>
  <c r="S133" i="2"/>
  <c r="B134" i="2"/>
  <c r="S134" i="2"/>
  <c r="B135" i="2"/>
  <c r="S135" i="2"/>
  <c r="B136" i="2"/>
  <c r="S136" i="2"/>
  <c r="B137" i="2"/>
  <c r="S137" i="2"/>
  <c r="B138" i="2"/>
  <c r="S138" i="2"/>
  <c r="B139" i="2"/>
  <c r="S139" i="2"/>
  <c r="B140" i="2"/>
  <c r="S140" i="2"/>
  <c r="B141" i="2"/>
  <c r="S141" i="2"/>
  <c r="B142" i="2"/>
  <c r="S142" i="2"/>
  <c r="B143" i="2"/>
  <c r="S143" i="2"/>
  <c r="B144" i="2"/>
  <c r="S144" i="2"/>
  <c r="B145" i="2"/>
  <c r="S145" i="2"/>
  <c r="B146" i="2"/>
  <c r="S146" i="2"/>
  <c r="B147" i="2"/>
  <c r="S147" i="2"/>
  <c r="B148" i="2"/>
  <c r="S148" i="2"/>
  <c r="B149" i="2"/>
  <c r="S149" i="2"/>
  <c r="B150" i="2"/>
  <c r="S150" i="2"/>
  <c r="B151" i="2"/>
  <c r="S151" i="2"/>
  <c r="B152" i="2"/>
  <c r="S152" i="2"/>
  <c r="B153" i="2"/>
  <c r="S153" i="2"/>
  <c r="B154" i="2"/>
  <c r="S154" i="2"/>
  <c r="B155" i="2"/>
  <c r="S155" i="2"/>
  <c r="B156" i="2"/>
  <c r="S156" i="2"/>
  <c r="B157" i="2"/>
  <c r="S157" i="2"/>
  <c r="B158" i="2"/>
  <c r="S158" i="2"/>
  <c r="B159" i="2"/>
  <c r="S159" i="2"/>
  <c r="B160" i="2"/>
  <c r="S160" i="2"/>
  <c r="B161" i="2"/>
  <c r="S161" i="2"/>
  <c r="B162" i="2"/>
  <c r="S162" i="2"/>
  <c r="B163" i="2"/>
  <c r="S163" i="2"/>
  <c r="B164" i="2"/>
  <c r="S164" i="2"/>
  <c r="B165" i="2"/>
  <c r="S165" i="2"/>
  <c r="B166" i="2"/>
  <c r="S166" i="2"/>
  <c r="B167" i="2"/>
  <c r="S167" i="2"/>
  <c r="B168" i="2"/>
  <c r="S168" i="2"/>
  <c r="B169" i="2"/>
  <c r="S169" i="2"/>
  <c r="B170" i="2"/>
  <c r="S170" i="2"/>
  <c r="B171" i="2"/>
  <c r="S171" i="2"/>
  <c r="B172" i="2"/>
  <c r="S172" i="2"/>
  <c r="B173" i="2"/>
  <c r="S173" i="2"/>
  <c r="B174" i="2"/>
  <c r="S174" i="2"/>
  <c r="B175" i="2"/>
  <c r="S175" i="2"/>
  <c r="B176" i="2"/>
  <c r="S176" i="2"/>
  <c r="B177" i="2"/>
  <c r="S177" i="2"/>
  <c r="B178" i="2"/>
  <c r="S178" i="2"/>
  <c r="B179" i="2"/>
  <c r="S179" i="2"/>
  <c r="B180" i="2"/>
  <c r="S180" i="2"/>
  <c r="B181" i="2"/>
  <c r="S181" i="2"/>
  <c r="B182" i="2"/>
  <c r="S182" i="2"/>
  <c r="B183" i="2"/>
  <c r="S183" i="2"/>
  <c r="B184" i="2"/>
  <c r="S184" i="2"/>
  <c r="B185" i="2"/>
  <c r="S185" i="2"/>
  <c r="B186" i="2"/>
  <c r="S186" i="2"/>
  <c r="B187" i="2"/>
  <c r="S187" i="2"/>
  <c r="B188" i="2"/>
  <c r="S188" i="2"/>
  <c r="B189" i="2"/>
  <c r="S189" i="2"/>
  <c r="B190" i="2"/>
  <c r="S190" i="2"/>
  <c r="B191" i="2"/>
  <c r="S191" i="2"/>
  <c r="B192" i="2"/>
  <c r="S192" i="2"/>
  <c r="B193" i="2"/>
  <c r="S193" i="2"/>
  <c r="B194" i="2"/>
  <c r="S194" i="2"/>
  <c r="B195" i="2"/>
  <c r="S195" i="2"/>
  <c r="B196" i="2"/>
  <c r="S196" i="2"/>
  <c r="B197" i="2"/>
  <c r="S197" i="2"/>
  <c r="B198" i="2"/>
  <c r="S198" i="2"/>
  <c r="B199" i="2"/>
  <c r="S199" i="2"/>
  <c r="B200" i="2"/>
  <c r="S200" i="2"/>
  <c r="B201" i="2"/>
  <c r="S201" i="2"/>
  <c r="B202" i="2"/>
  <c r="S202" i="2"/>
  <c r="B203" i="2"/>
  <c r="S203" i="2"/>
  <c r="B204" i="2"/>
  <c r="S204" i="2"/>
  <c r="B205" i="2"/>
  <c r="S205" i="2"/>
  <c r="B206" i="2"/>
  <c r="S206" i="2"/>
  <c r="B207" i="2"/>
  <c r="S207" i="2"/>
  <c r="B208" i="2"/>
  <c r="S208" i="2"/>
  <c r="B209" i="2"/>
  <c r="S209" i="2"/>
  <c r="B210" i="2"/>
  <c r="S210" i="2"/>
  <c r="B211" i="2"/>
  <c r="S211" i="2"/>
  <c r="B212" i="2"/>
  <c r="S212" i="2"/>
  <c r="B213" i="2"/>
  <c r="S213" i="2"/>
  <c r="B214" i="2"/>
  <c r="S214" i="2"/>
  <c r="B215" i="2"/>
  <c r="S215" i="2"/>
  <c r="B216" i="2"/>
  <c r="S216" i="2"/>
  <c r="B217" i="2"/>
  <c r="S217" i="2"/>
  <c r="B218" i="2"/>
  <c r="S218" i="2"/>
  <c r="B219" i="2"/>
  <c r="S219" i="2"/>
  <c r="B220" i="2"/>
  <c r="S220" i="2"/>
  <c r="B221" i="2"/>
  <c r="S221" i="2"/>
  <c r="B222" i="2"/>
  <c r="S222" i="2"/>
  <c r="B223" i="2"/>
  <c r="S223" i="2"/>
  <c r="B224" i="2"/>
  <c r="S224" i="2"/>
  <c r="B225" i="2"/>
  <c r="S225" i="2"/>
  <c r="B226" i="2"/>
  <c r="S226" i="2"/>
  <c r="B227" i="2"/>
  <c r="S227" i="2"/>
  <c r="B228" i="2"/>
  <c r="S228" i="2"/>
  <c r="B229" i="2"/>
  <c r="S229" i="2"/>
  <c r="B230" i="2"/>
  <c r="S230" i="2"/>
  <c r="B231" i="2"/>
  <c r="S231" i="2"/>
  <c r="B232" i="2"/>
  <c r="S232" i="2"/>
  <c r="B233" i="2"/>
  <c r="S233" i="2"/>
  <c r="B234" i="2"/>
  <c r="S234" i="2"/>
  <c r="B235" i="2"/>
  <c r="S235" i="2"/>
  <c r="B236" i="2"/>
  <c r="S236" i="2"/>
  <c r="B237" i="2"/>
  <c r="S237" i="2"/>
  <c r="B238" i="2"/>
  <c r="S238" i="2"/>
  <c r="B239" i="2"/>
  <c r="S239" i="2"/>
  <c r="B240" i="2"/>
  <c r="S240" i="2"/>
  <c r="B241" i="2"/>
  <c r="S241" i="2"/>
  <c r="B242" i="2"/>
  <c r="S242" i="2"/>
  <c r="B243" i="2"/>
  <c r="S243" i="2"/>
  <c r="B244" i="2"/>
  <c r="S244" i="2"/>
  <c r="B245" i="2"/>
  <c r="S245" i="2"/>
  <c r="B246" i="2"/>
  <c r="S246" i="2"/>
  <c r="B247" i="2"/>
  <c r="S247" i="2"/>
  <c r="B248" i="2"/>
  <c r="S248" i="2"/>
  <c r="B249" i="2"/>
  <c r="S249" i="2"/>
  <c r="B250" i="2"/>
  <c r="S250" i="2"/>
  <c r="B251" i="2"/>
  <c r="S251" i="2"/>
  <c r="B252" i="2"/>
  <c r="S252" i="2"/>
  <c r="B253" i="2"/>
  <c r="S253" i="2"/>
  <c r="B254" i="2"/>
  <c r="S254" i="2"/>
  <c r="B255" i="2"/>
  <c r="S255" i="2"/>
  <c r="B256" i="2"/>
  <c r="S256" i="2"/>
  <c r="B257" i="2"/>
  <c r="S257" i="2"/>
  <c r="B258" i="2"/>
  <c r="S258" i="2"/>
  <c r="B259" i="2"/>
  <c r="S259" i="2"/>
  <c r="B260" i="2"/>
  <c r="S260" i="2"/>
  <c r="B261" i="2"/>
  <c r="S261" i="2"/>
  <c r="B262" i="2"/>
  <c r="S262" i="2"/>
  <c r="B263" i="2"/>
  <c r="S263" i="2"/>
  <c r="B264" i="2"/>
  <c r="S264" i="2"/>
  <c r="B265" i="2"/>
  <c r="S265" i="2"/>
  <c r="B266" i="2"/>
  <c r="S266" i="2"/>
  <c r="B267" i="2"/>
  <c r="S267" i="2"/>
  <c r="B268" i="2"/>
  <c r="S268" i="2"/>
  <c r="B269" i="2"/>
  <c r="S269" i="2"/>
  <c r="B270" i="2"/>
  <c r="S270" i="2"/>
  <c r="B271" i="2"/>
  <c r="S271" i="2"/>
  <c r="B272" i="2"/>
  <c r="S272" i="2"/>
  <c r="B273" i="2"/>
  <c r="S273" i="2"/>
  <c r="B274" i="2"/>
  <c r="S274" i="2"/>
  <c r="B275" i="2"/>
  <c r="S275" i="2"/>
  <c r="B276" i="2"/>
  <c r="S276" i="2"/>
  <c r="B277" i="2"/>
  <c r="S277" i="2"/>
  <c r="B278" i="2"/>
  <c r="S278" i="2"/>
  <c r="B279" i="2"/>
  <c r="S279" i="2"/>
  <c r="B280" i="2"/>
  <c r="S280" i="2"/>
  <c r="B281" i="2"/>
  <c r="S281" i="2"/>
  <c r="B282" i="2"/>
  <c r="S282" i="2"/>
  <c r="B283" i="2"/>
  <c r="S283" i="2"/>
  <c r="B284" i="2"/>
  <c r="S284" i="2"/>
  <c r="B285" i="2"/>
  <c r="S285" i="2"/>
  <c r="B286" i="2"/>
  <c r="S286" i="2"/>
  <c r="B287" i="2"/>
  <c r="S287" i="2"/>
  <c r="B288" i="2"/>
  <c r="S288" i="2"/>
  <c r="B289" i="2"/>
  <c r="S289" i="2"/>
  <c r="B290" i="2"/>
  <c r="S290" i="2"/>
  <c r="B291" i="2"/>
  <c r="S291" i="2"/>
  <c r="B292" i="2"/>
  <c r="S292" i="2"/>
  <c r="B293" i="2"/>
  <c r="S293" i="2"/>
  <c r="B294" i="2"/>
  <c r="S294" i="2"/>
  <c r="B295" i="2"/>
  <c r="S295" i="2"/>
  <c r="B296" i="2"/>
  <c r="S296" i="2"/>
  <c r="B297" i="2"/>
  <c r="S297" i="2"/>
  <c r="B298" i="2"/>
  <c r="S298" i="2"/>
  <c r="B299" i="2"/>
  <c r="S299" i="2"/>
  <c r="B300" i="2"/>
  <c r="S300" i="2"/>
  <c r="B301" i="2"/>
  <c r="S301" i="2"/>
  <c r="B302" i="2"/>
  <c r="S302" i="2"/>
  <c r="B303" i="2"/>
  <c r="S303" i="2"/>
  <c r="B304" i="2"/>
  <c r="S304" i="2"/>
  <c r="B305" i="2"/>
  <c r="S305" i="2"/>
  <c r="B306" i="2"/>
  <c r="S306" i="2"/>
  <c r="B307" i="2"/>
  <c r="S307" i="2"/>
  <c r="B308" i="2"/>
  <c r="S308" i="2"/>
  <c r="B309" i="2"/>
  <c r="S309" i="2"/>
  <c r="B310" i="2"/>
  <c r="S310" i="2"/>
  <c r="B311" i="2"/>
  <c r="S311" i="2"/>
  <c r="B312" i="2"/>
  <c r="S312" i="2"/>
  <c r="B313" i="2"/>
  <c r="S313" i="2"/>
  <c r="B314" i="2"/>
  <c r="S314" i="2"/>
  <c r="B315" i="2"/>
  <c r="S315" i="2"/>
  <c r="B316" i="2"/>
  <c r="S316" i="2"/>
  <c r="B317" i="2"/>
  <c r="S317" i="2"/>
  <c r="B318" i="2"/>
  <c r="S318" i="2"/>
  <c r="B319" i="2"/>
  <c r="S319" i="2"/>
  <c r="B320" i="2"/>
  <c r="S320" i="2"/>
  <c r="B321" i="2"/>
  <c r="S321" i="2"/>
  <c r="B322" i="2"/>
  <c r="S322" i="2"/>
  <c r="B323" i="2"/>
  <c r="S323" i="2"/>
  <c r="B324" i="2"/>
  <c r="S324" i="2"/>
  <c r="B325" i="2"/>
  <c r="S325" i="2"/>
  <c r="B326" i="2"/>
  <c r="S326" i="2"/>
  <c r="B327" i="2"/>
  <c r="S327" i="2"/>
  <c r="B328" i="2"/>
  <c r="S328" i="2"/>
  <c r="B329" i="2"/>
  <c r="S329" i="2"/>
  <c r="B330" i="2"/>
  <c r="S330" i="2"/>
  <c r="B331" i="2"/>
  <c r="S331" i="2"/>
  <c r="B332" i="2"/>
  <c r="S332" i="2"/>
  <c r="B333" i="2"/>
  <c r="S333" i="2"/>
  <c r="B334" i="2"/>
  <c r="S334" i="2"/>
  <c r="B335" i="2"/>
  <c r="S335" i="2"/>
  <c r="B336" i="2"/>
  <c r="S336" i="2"/>
  <c r="B337" i="2"/>
  <c r="S337" i="2"/>
  <c r="B338" i="2"/>
  <c r="S338" i="2"/>
  <c r="B339" i="2"/>
  <c r="S339" i="2"/>
  <c r="B340" i="2"/>
  <c r="S340" i="2"/>
  <c r="B341" i="2"/>
  <c r="S341" i="2"/>
  <c r="B342" i="2"/>
  <c r="S342" i="2"/>
  <c r="B343" i="2"/>
  <c r="S343" i="2"/>
  <c r="B344" i="2"/>
  <c r="S344" i="2"/>
  <c r="B345" i="2"/>
  <c r="S345" i="2"/>
  <c r="B346" i="2"/>
  <c r="S346" i="2"/>
  <c r="B347" i="2"/>
  <c r="S347" i="2"/>
  <c r="B348" i="2"/>
  <c r="S348" i="2"/>
  <c r="B349" i="2"/>
  <c r="S349" i="2"/>
  <c r="B350" i="2"/>
  <c r="S350" i="2"/>
  <c r="B351" i="2"/>
  <c r="S351" i="2"/>
  <c r="B352" i="2"/>
  <c r="S352" i="2"/>
  <c r="B353" i="2"/>
  <c r="S353" i="2"/>
  <c r="B354" i="2"/>
  <c r="S354" i="2"/>
  <c r="B355" i="2"/>
  <c r="S355" i="2"/>
  <c r="B356" i="2"/>
  <c r="S356" i="2"/>
  <c r="B357" i="2"/>
  <c r="S357" i="2"/>
  <c r="B358" i="2"/>
  <c r="S358" i="2"/>
  <c r="B359" i="2"/>
  <c r="S359" i="2"/>
  <c r="B360" i="2"/>
  <c r="S360" i="2"/>
  <c r="B361" i="2"/>
  <c r="S361" i="2"/>
  <c r="B362" i="2"/>
  <c r="S362" i="2"/>
  <c r="B363" i="2"/>
  <c r="S363" i="2"/>
  <c r="B364" i="2"/>
  <c r="S364" i="2"/>
  <c r="B365" i="2"/>
  <c r="S365" i="2"/>
  <c r="B366" i="2"/>
  <c r="S366" i="2"/>
  <c r="B367" i="2"/>
  <c r="S367" i="2"/>
  <c r="B368" i="2"/>
  <c r="S368" i="2"/>
  <c r="B369" i="2"/>
  <c r="S369" i="2"/>
  <c r="B370" i="2"/>
  <c r="S370" i="2"/>
  <c r="B371" i="2"/>
  <c r="S371" i="2"/>
  <c r="B372" i="2"/>
  <c r="S372" i="2"/>
  <c r="B373" i="2"/>
  <c r="S373" i="2"/>
  <c r="B374" i="2"/>
  <c r="S374" i="2"/>
  <c r="B375" i="2"/>
  <c r="S375" i="2"/>
  <c r="B376" i="2"/>
  <c r="S376" i="2"/>
  <c r="B377" i="2"/>
  <c r="S377" i="2"/>
  <c r="B378" i="2"/>
  <c r="S378" i="2"/>
  <c r="B379" i="2"/>
  <c r="S379" i="2"/>
  <c r="B380" i="2"/>
  <c r="S380" i="2"/>
  <c r="B381" i="2"/>
  <c r="S381" i="2"/>
  <c r="B382" i="2"/>
  <c r="S382" i="2"/>
  <c r="B383" i="2"/>
  <c r="S383" i="2"/>
  <c r="B384" i="2"/>
  <c r="S384" i="2"/>
  <c r="B385" i="2"/>
  <c r="S385" i="2"/>
  <c r="B386" i="2"/>
  <c r="S386" i="2"/>
  <c r="B387" i="2"/>
  <c r="S387" i="2"/>
  <c r="B388" i="2"/>
  <c r="S388" i="2"/>
  <c r="B389" i="2"/>
  <c r="S389" i="2"/>
  <c r="B390" i="2"/>
  <c r="S390" i="2"/>
  <c r="B391" i="2"/>
  <c r="S391" i="2"/>
  <c r="B392" i="2"/>
  <c r="S392" i="2"/>
  <c r="B393" i="2"/>
  <c r="S393" i="2"/>
  <c r="B394" i="2"/>
  <c r="S394" i="2"/>
  <c r="B395" i="2"/>
  <c r="S395" i="2"/>
  <c r="B396" i="2"/>
  <c r="S396" i="2"/>
  <c r="B397" i="2"/>
  <c r="S397" i="2"/>
  <c r="B398" i="2"/>
  <c r="S398" i="2"/>
  <c r="B399" i="2"/>
  <c r="S399" i="2"/>
  <c r="B400" i="2"/>
  <c r="S400" i="2"/>
  <c r="B401" i="2"/>
  <c r="S401" i="2"/>
  <c r="B402" i="2"/>
  <c r="S402" i="2"/>
  <c r="B403" i="2"/>
  <c r="S403" i="2"/>
  <c r="B404" i="2"/>
  <c r="S404" i="2"/>
  <c r="B405" i="2"/>
  <c r="S405" i="2"/>
  <c r="B406" i="2"/>
  <c r="S406" i="2"/>
  <c r="B407" i="2"/>
  <c r="S407" i="2"/>
  <c r="B408" i="2"/>
  <c r="S408" i="2"/>
  <c r="B409" i="2"/>
  <c r="S409" i="2"/>
  <c r="B410" i="2"/>
  <c r="S410" i="2"/>
  <c r="B411" i="2"/>
  <c r="S411" i="2"/>
  <c r="B412" i="2"/>
  <c r="S412" i="2"/>
  <c r="B413" i="2"/>
  <c r="S413" i="2"/>
  <c r="B414" i="2"/>
  <c r="S414" i="2"/>
  <c r="B415" i="2"/>
  <c r="S415" i="2"/>
  <c r="B416" i="2"/>
  <c r="S416" i="2"/>
  <c r="B417" i="2"/>
  <c r="S417" i="2"/>
  <c r="B418" i="2"/>
  <c r="S418" i="2"/>
  <c r="B419" i="2"/>
  <c r="S419" i="2"/>
  <c r="B420" i="2"/>
  <c r="S420" i="2"/>
  <c r="B421" i="2"/>
  <c r="S421" i="2"/>
  <c r="B422" i="2"/>
  <c r="S422" i="2"/>
  <c r="B423" i="2"/>
  <c r="S423" i="2"/>
  <c r="B424" i="2"/>
  <c r="S424" i="2"/>
  <c r="B425" i="2"/>
  <c r="S425" i="2"/>
  <c r="B426" i="2"/>
  <c r="S426" i="2"/>
  <c r="B427" i="2"/>
  <c r="S427" i="2"/>
  <c r="B428" i="2"/>
  <c r="S428" i="2"/>
  <c r="B429" i="2"/>
  <c r="S429" i="2"/>
  <c r="B430" i="2"/>
  <c r="S430" i="2"/>
  <c r="B431" i="2"/>
  <c r="S431" i="2"/>
  <c r="B432" i="2"/>
  <c r="S432" i="2"/>
  <c r="B433" i="2"/>
  <c r="S433" i="2"/>
  <c r="B434" i="2"/>
  <c r="S434" i="2"/>
  <c r="B435" i="2"/>
  <c r="S435" i="2"/>
  <c r="B436" i="2"/>
  <c r="S436" i="2"/>
  <c r="B437" i="2"/>
  <c r="S437" i="2"/>
  <c r="B438" i="2"/>
  <c r="S438" i="2"/>
  <c r="B439" i="2"/>
  <c r="S439" i="2"/>
  <c r="B440" i="2"/>
  <c r="S440" i="2"/>
  <c r="B441" i="2"/>
  <c r="S441" i="2"/>
  <c r="B442" i="2"/>
  <c r="S442" i="2"/>
  <c r="B443" i="2"/>
  <c r="S443" i="2"/>
  <c r="B444" i="2"/>
  <c r="S444" i="2"/>
  <c r="B445" i="2"/>
  <c r="S445" i="2"/>
  <c r="B446" i="2"/>
  <c r="S446" i="2"/>
  <c r="B447" i="2"/>
  <c r="S447" i="2"/>
  <c r="B448" i="2"/>
  <c r="S448" i="2"/>
  <c r="B449" i="2"/>
  <c r="S449" i="2"/>
  <c r="B450" i="2"/>
  <c r="S450" i="2"/>
  <c r="B451" i="2"/>
  <c r="S451" i="2"/>
  <c r="B452" i="2"/>
  <c r="S452" i="2"/>
  <c r="B453" i="2"/>
  <c r="S453" i="2"/>
  <c r="B454" i="2"/>
  <c r="S454" i="2"/>
  <c r="B455" i="2"/>
  <c r="S455" i="2"/>
  <c r="B456" i="2"/>
  <c r="S456" i="2"/>
  <c r="B457" i="2"/>
  <c r="S457" i="2"/>
  <c r="B458" i="2"/>
  <c r="S458" i="2"/>
  <c r="B459" i="2"/>
  <c r="S459" i="2"/>
  <c r="B460" i="2"/>
  <c r="S460" i="2"/>
  <c r="B461" i="2"/>
  <c r="S461" i="2"/>
  <c r="B462" i="2"/>
  <c r="S462" i="2"/>
  <c r="B463" i="2"/>
  <c r="S463" i="2"/>
  <c r="B464" i="2"/>
  <c r="S464" i="2"/>
  <c r="B465" i="2"/>
  <c r="S465" i="2"/>
  <c r="B466" i="2"/>
  <c r="S466" i="2"/>
  <c r="B467" i="2"/>
  <c r="S467" i="2"/>
  <c r="B468" i="2"/>
  <c r="S468" i="2"/>
  <c r="B469" i="2"/>
  <c r="S469" i="2"/>
  <c r="B470" i="2"/>
  <c r="S470" i="2"/>
  <c r="B471" i="2"/>
  <c r="S471" i="2"/>
  <c r="B472" i="2"/>
  <c r="S472" i="2"/>
  <c r="B473" i="2"/>
  <c r="S473" i="2"/>
  <c r="B474" i="2"/>
  <c r="S474" i="2"/>
  <c r="B475" i="2"/>
  <c r="S475" i="2"/>
  <c r="B476" i="2"/>
  <c r="S476" i="2"/>
  <c r="B477" i="2"/>
  <c r="S477" i="2"/>
  <c r="B478" i="2"/>
  <c r="S478" i="2"/>
  <c r="B479" i="2"/>
  <c r="S479" i="2"/>
  <c r="B480" i="2"/>
  <c r="S480" i="2"/>
  <c r="B481" i="2"/>
  <c r="S481" i="2"/>
  <c r="B482" i="2"/>
  <c r="S482" i="2"/>
  <c r="B483" i="2"/>
  <c r="S483" i="2"/>
  <c r="B484" i="2"/>
  <c r="S484" i="2"/>
  <c r="B485" i="2"/>
  <c r="S485" i="2"/>
  <c r="B486" i="2"/>
  <c r="S486" i="2"/>
  <c r="B487" i="2"/>
  <c r="S487" i="2"/>
  <c r="B488" i="2"/>
  <c r="S488" i="2"/>
  <c r="B489" i="2"/>
  <c r="S489" i="2"/>
  <c r="B490" i="2"/>
  <c r="S490" i="2"/>
  <c r="B491" i="2"/>
  <c r="S491" i="2"/>
  <c r="B492" i="2"/>
  <c r="S492" i="2"/>
  <c r="B493" i="2"/>
  <c r="S493" i="2"/>
  <c r="B494" i="2"/>
  <c r="S494" i="2"/>
  <c r="B495" i="2"/>
  <c r="S495" i="2"/>
  <c r="B496" i="2"/>
  <c r="S496" i="2"/>
  <c r="B497" i="2"/>
  <c r="S497" i="2"/>
  <c r="B498" i="2"/>
  <c r="S498" i="2"/>
  <c r="B499" i="2"/>
  <c r="S499" i="2"/>
  <c r="B500" i="2"/>
  <c r="S500" i="2"/>
  <c r="B501" i="2"/>
  <c r="S501" i="2"/>
  <c r="B502" i="2"/>
  <c r="S502" i="2"/>
  <c r="B503" i="2"/>
  <c r="S503" i="2"/>
  <c r="B504" i="2"/>
  <c r="S504" i="2"/>
  <c r="B505" i="2"/>
  <c r="S505" i="2"/>
  <c r="B506" i="2"/>
  <c r="S506" i="2"/>
  <c r="B507" i="2"/>
  <c r="S507" i="2"/>
  <c r="B508" i="2"/>
  <c r="S508" i="2"/>
  <c r="B509" i="2"/>
  <c r="S509" i="2"/>
  <c r="B510" i="2"/>
  <c r="S510" i="2"/>
  <c r="B511" i="2"/>
  <c r="S511" i="2"/>
  <c r="B512" i="2"/>
  <c r="S512" i="2"/>
  <c r="B513" i="2"/>
  <c r="S513" i="2"/>
  <c r="B514" i="2"/>
  <c r="S514" i="2"/>
  <c r="B515" i="2"/>
  <c r="S515" i="2"/>
  <c r="B516" i="2"/>
  <c r="S516" i="2"/>
  <c r="B517" i="2"/>
  <c r="S517" i="2"/>
  <c r="B518" i="2"/>
  <c r="S518" i="2"/>
  <c r="B519" i="2"/>
  <c r="S519" i="2"/>
  <c r="B520" i="2"/>
  <c r="S520" i="2"/>
  <c r="B521" i="2"/>
  <c r="S521" i="2"/>
  <c r="B522" i="2"/>
  <c r="S522" i="2"/>
  <c r="B523" i="2"/>
  <c r="S523" i="2"/>
  <c r="B524" i="2"/>
  <c r="S524" i="2"/>
  <c r="B525" i="2"/>
  <c r="S525" i="2"/>
  <c r="B526" i="2"/>
  <c r="S526" i="2"/>
  <c r="B527" i="2"/>
  <c r="S527" i="2"/>
  <c r="B528" i="2"/>
  <c r="S528" i="2"/>
  <c r="B529" i="2"/>
  <c r="S529" i="2"/>
  <c r="B530" i="2"/>
  <c r="S530" i="2"/>
  <c r="B531" i="2"/>
  <c r="S531" i="2"/>
  <c r="B532" i="2"/>
  <c r="S532" i="2"/>
  <c r="B533" i="2"/>
  <c r="S533" i="2"/>
  <c r="B534" i="2"/>
  <c r="S534" i="2"/>
  <c r="B535" i="2"/>
  <c r="S535" i="2"/>
  <c r="B536" i="2"/>
  <c r="S536" i="2"/>
  <c r="B537" i="2"/>
  <c r="S537" i="2"/>
  <c r="B538" i="2"/>
  <c r="S538" i="2"/>
  <c r="B539" i="2"/>
  <c r="S539" i="2"/>
  <c r="B540" i="2"/>
  <c r="S540" i="2"/>
  <c r="B541" i="2"/>
  <c r="S541" i="2"/>
  <c r="B542" i="2"/>
  <c r="S542" i="2"/>
  <c r="B543" i="2"/>
  <c r="S543" i="2"/>
  <c r="B544" i="2"/>
  <c r="S544" i="2"/>
  <c r="B545" i="2"/>
  <c r="S545" i="2"/>
  <c r="B546" i="2"/>
  <c r="S546" i="2"/>
  <c r="B547" i="2"/>
  <c r="S547" i="2"/>
  <c r="B548" i="2"/>
  <c r="S548" i="2"/>
  <c r="B549" i="2"/>
  <c r="S549" i="2"/>
  <c r="B550" i="2"/>
  <c r="S550" i="2"/>
  <c r="B551" i="2"/>
  <c r="S551" i="2"/>
  <c r="B552" i="2"/>
  <c r="S552" i="2"/>
  <c r="B553" i="2"/>
  <c r="S553" i="2"/>
  <c r="B554" i="2"/>
  <c r="S554" i="2"/>
  <c r="B555" i="2"/>
  <c r="S555" i="2"/>
  <c r="B556" i="2"/>
  <c r="S556" i="2"/>
  <c r="B557" i="2"/>
  <c r="S557" i="2"/>
  <c r="B558" i="2"/>
  <c r="S558" i="2"/>
  <c r="B559" i="2"/>
  <c r="S559" i="2"/>
  <c r="B560" i="2"/>
  <c r="S560" i="2"/>
  <c r="B561" i="2"/>
  <c r="S561" i="2"/>
  <c r="B562" i="2"/>
  <c r="S562" i="2"/>
  <c r="B563" i="2"/>
  <c r="S563" i="2"/>
  <c r="B564" i="2"/>
  <c r="S564" i="2"/>
  <c r="B565" i="2"/>
  <c r="S565" i="2"/>
  <c r="B566" i="2"/>
  <c r="S566" i="2"/>
  <c r="B567" i="2"/>
  <c r="S567" i="2"/>
  <c r="B568" i="2"/>
  <c r="S568" i="2"/>
  <c r="B569" i="2"/>
  <c r="S569" i="2"/>
  <c r="B570" i="2"/>
  <c r="S570" i="2"/>
  <c r="B571" i="2"/>
  <c r="S571" i="2"/>
  <c r="B572" i="2"/>
  <c r="S572" i="2"/>
  <c r="B573" i="2"/>
  <c r="S573" i="2"/>
  <c r="B574" i="2"/>
  <c r="S574" i="2"/>
  <c r="B575" i="2"/>
  <c r="S575" i="2"/>
  <c r="B576" i="2"/>
  <c r="S576" i="2"/>
  <c r="B577" i="2"/>
  <c r="S577" i="2"/>
  <c r="B578" i="2"/>
  <c r="S578" i="2"/>
  <c r="B579" i="2"/>
  <c r="S579" i="2"/>
  <c r="B580" i="2"/>
  <c r="S580" i="2"/>
  <c r="B581" i="2"/>
  <c r="S581" i="2"/>
  <c r="B582" i="2"/>
  <c r="S582" i="2"/>
  <c r="B583" i="2"/>
  <c r="S583" i="2"/>
  <c r="B584" i="2"/>
  <c r="S584" i="2"/>
  <c r="B585" i="2"/>
  <c r="S585" i="2"/>
  <c r="B586" i="2"/>
  <c r="S586" i="2"/>
  <c r="B587" i="2"/>
  <c r="S587" i="2"/>
  <c r="B588" i="2"/>
  <c r="S588" i="2"/>
  <c r="B589" i="2"/>
  <c r="S589" i="2"/>
  <c r="B590" i="2"/>
  <c r="S590" i="2"/>
  <c r="B591" i="2"/>
  <c r="S591" i="2"/>
  <c r="B592" i="2"/>
  <c r="S592" i="2"/>
  <c r="B593" i="2"/>
  <c r="S593" i="2"/>
  <c r="B594" i="2"/>
  <c r="S594" i="2"/>
  <c r="B595" i="2"/>
  <c r="S595" i="2"/>
  <c r="B596" i="2"/>
  <c r="S596" i="2"/>
  <c r="B597" i="2"/>
  <c r="S597" i="2"/>
  <c r="B598" i="2"/>
  <c r="S598" i="2"/>
  <c r="B599" i="2"/>
  <c r="S599" i="2"/>
  <c r="B600" i="2"/>
  <c r="S600" i="2"/>
  <c r="B601" i="2"/>
  <c r="S601" i="2"/>
  <c r="B602" i="2"/>
  <c r="S602" i="2"/>
  <c r="B603" i="2"/>
  <c r="S603" i="2"/>
  <c r="B604" i="2"/>
  <c r="S604" i="2"/>
  <c r="B605" i="2"/>
  <c r="S605" i="2"/>
  <c r="B606" i="2"/>
  <c r="S606" i="2"/>
  <c r="B607" i="2"/>
  <c r="S607" i="2"/>
  <c r="B608" i="2"/>
  <c r="S608" i="2"/>
  <c r="B609" i="2"/>
  <c r="S609" i="2"/>
  <c r="B610" i="2"/>
  <c r="S610" i="2"/>
  <c r="B611" i="2"/>
  <c r="S611" i="2"/>
  <c r="B612" i="2"/>
  <c r="S612" i="2"/>
  <c r="B613" i="2"/>
  <c r="S613" i="2"/>
  <c r="B614" i="2"/>
  <c r="S614" i="2"/>
  <c r="B615" i="2"/>
  <c r="S615" i="2"/>
  <c r="B616" i="2"/>
  <c r="S616" i="2"/>
  <c r="B617" i="2"/>
  <c r="S617" i="2"/>
  <c r="B618" i="2"/>
  <c r="S618" i="2"/>
  <c r="B619" i="2"/>
  <c r="S619" i="2"/>
  <c r="B620" i="2"/>
  <c r="S620" i="2"/>
  <c r="B621" i="2"/>
  <c r="S621" i="2"/>
  <c r="B622" i="2"/>
  <c r="S622" i="2"/>
  <c r="B623" i="2"/>
  <c r="S623" i="2"/>
  <c r="B624" i="2"/>
  <c r="S624" i="2"/>
  <c r="B625" i="2"/>
  <c r="S625" i="2"/>
  <c r="B626" i="2"/>
  <c r="S626" i="2"/>
  <c r="B627" i="2"/>
  <c r="S627" i="2"/>
  <c r="B628" i="2"/>
  <c r="S628" i="2"/>
  <c r="B629" i="2"/>
  <c r="S629" i="2"/>
  <c r="B630" i="2"/>
  <c r="S630" i="2"/>
  <c r="B631" i="2"/>
  <c r="S631" i="2"/>
  <c r="B632" i="2"/>
  <c r="S632" i="2"/>
  <c r="B633" i="2"/>
  <c r="S633" i="2"/>
  <c r="B634" i="2"/>
  <c r="S634" i="2"/>
  <c r="B635" i="2"/>
  <c r="S635" i="2"/>
  <c r="B636" i="2"/>
  <c r="S636" i="2"/>
  <c r="B637" i="2"/>
  <c r="S637" i="2"/>
  <c r="B638" i="2"/>
  <c r="S638" i="2"/>
  <c r="B639" i="2"/>
  <c r="S639" i="2"/>
  <c r="B640" i="2"/>
  <c r="S640" i="2"/>
  <c r="B641" i="2"/>
  <c r="S641" i="2"/>
  <c r="B642" i="2"/>
  <c r="S642" i="2"/>
  <c r="B643" i="2"/>
  <c r="S643" i="2"/>
  <c r="B644" i="2"/>
  <c r="S644" i="2"/>
  <c r="B645" i="2"/>
  <c r="S645" i="2"/>
  <c r="B646" i="2"/>
  <c r="S646" i="2"/>
  <c r="B647" i="2"/>
  <c r="S647" i="2"/>
  <c r="B648" i="2"/>
  <c r="S648" i="2"/>
  <c r="B649" i="2"/>
  <c r="S649" i="2"/>
  <c r="B650" i="2"/>
  <c r="S650" i="2"/>
  <c r="B651" i="2"/>
  <c r="S651" i="2"/>
  <c r="B652" i="2"/>
  <c r="S652" i="2"/>
  <c r="B653" i="2"/>
  <c r="S653" i="2"/>
  <c r="B654" i="2"/>
  <c r="S654" i="2"/>
  <c r="B655" i="2"/>
  <c r="S655" i="2"/>
  <c r="B656" i="2"/>
  <c r="S656" i="2"/>
  <c r="B657" i="2"/>
  <c r="S657" i="2"/>
  <c r="B658" i="2"/>
  <c r="S658" i="2"/>
  <c r="B659" i="2"/>
  <c r="S659" i="2"/>
  <c r="B660" i="2"/>
  <c r="S660" i="2"/>
  <c r="B661" i="2"/>
  <c r="S661" i="2"/>
  <c r="B662" i="2"/>
  <c r="S662" i="2"/>
  <c r="B663" i="2"/>
  <c r="S663" i="2"/>
  <c r="B664" i="2"/>
  <c r="S664" i="2"/>
  <c r="B665" i="2"/>
  <c r="S665" i="2"/>
  <c r="B666" i="2"/>
  <c r="S666" i="2"/>
  <c r="B667" i="2"/>
  <c r="S667" i="2"/>
  <c r="B668" i="2"/>
  <c r="S668" i="2"/>
  <c r="B669" i="2"/>
  <c r="S669" i="2"/>
  <c r="B670" i="2"/>
  <c r="S670" i="2"/>
  <c r="B671" i="2"/>
  <c r="S671" i="2"/>
  <c r="B672" i="2"/>
  <c r="S672" i="2"/>
  <c r="B673" i="2"/>
  <c r="S673" i="2"/>
  <c r="B674" i="2"/>
  <c r="S674" i="2"/>
  <c r="B675" i="2"/>
  <c r="S675" i="2"/>
  <c r="B676" i="2"/>
  <c r="S676" i="2"/>
  <c r="B677" i="2"/>
  <c r="S677" i="2"/>
  <c r="B678" i="2"/>
  <c r="S678" i="2"/>
  <c r="B679" i="2"/>
  <c r="S679" i="2"/>
  <c r="B680" i="2"/>
  <c r="S680" i="2"/>
  <c r="B681" i="2"/>
  <c r="S681" i="2"/>
  <c r="B682" i="2"/>
  <c r="S682" i="2"/>
  <c r="B683" i="2"/>
  <c r="S683" i="2"/>
  <c r="B684" i="2"/>
  <c r="S684" i="2"/>
  <c r="B685" i="2"/>
  <c r="S685" i="2"/>
  <c r="B686" i="2"/>
  <c r="S686" i="2"/>
  <c r="B687" i="2"/>
  <c r="S687" i="2"/>
  <c r="B688" i="2"/>
  <c r="S688" i="2"/>
  <c r="B689" i="2"/>
  <c r="S689" i="2"/>
  <c r="B690" i="2"/>
  <c r="S690" i="2"/>
  <c r="B691" i="2"/>
  <c r="S691" i="2"/>
  <c r="B692" i="2"/>
  <c r="S692" i="2"/>
  <c r="B693" i="2"/>
  <c r="S693" i="2"/>
  <c r="B694" i="2"/>
  <c r="S694" i="2"/>
  <c r="B695" i="2"/>
  <c r="S695" i="2"/>
  <c r="B696" i="2"/>
  <c r="S696" i="2"/>
  <c r="B697" i="2"/>
  <c r="S697" i="2"/>
  <c r="B698" i="2"/>
  <c r="S698" i="2"/>
  <c r="B699" i="2"/>
  <c r="S699" i="2"/>
  <c r="B700" i="2"/>
  <c r="S700" i="2"/>
  <c r="B701" i="2"/>
  <c r="S701" i="2"/>
  <c r="B702" i="2"/>
  <c r="S702" i="2"/>
  <c r="B703" i="2"/>
  <c r="S703" i="2"/>
  <c r="B704" i="2"/>
  <c r="S704" i="2"/>
  <c r="B705" i="2"/>
  <c r="S705" i="2"/>
  <c r="B706" i="2"/>
  <c r="S706" i="2"/>
  <c r="B707" i="2"/>
  <c r="S707" i="2"/>
  <c r="B708" i="2"/>
  <c r="S708" i="2"/>
  <c r="B709" i="2"/>
  <c r="S709" i="2"/>
  <c r="B710" i="2"/>
  <c r="S710" i="2"/>
  <c r="B711" i="2"/>
  <c r="S711" i="2"/>
  <c r="B712" i="2"/>
  <c r="S712" i="2"/>
  <c r="B713" i="2"/>
  <c r="S713" i="2"/>
  <c r="B714" i="2"/>
  <c r="S714" i="2"/>
  <c r="B715" i="2"/>
  <c r="S715" i="2"/>
  <c r="B716" i="2"/>
  <c r="S716" i="2"/>
  <c r="B717" i="2"/>
  <c r="S717" i="2"/>
  <c r="B718" i="2"/>
  <c r="S718" i="2"/>
  <c r="B719" i="2"/>
  <c r="S719" i="2"/>
  <c r="B720" i="2"/>
  <c r="S720" i="2"/>
  <c r="B721" i="2"/>
  <c r="S721" i="2"/>
  <c r="B722" i="2"/>
  <c r="S722" i="2"/>
  <c r="B723" i="2"/>
  <c r="S723" i="2"/>
  <c r="B724" i="2"/>
  <c r="S724" i="2"/>
  <c r="B725" i="2"/>
  <c r="S725" i="2"/>
  <c r="B726" i="2"/>
  <c r="S726" i="2"/>
  <c r="B727" i="2"/>
  <c r="S727" i="2"/>
  <c r="B728" i="2"/>
  <c r="S728" i="2"/>
  <c r="B729" i="2"/>
  <c r="S729" i="2"/>
  <c r="B730" i="2"/>
  <c r="S730" i="2"/>
  <c r="B731" i="2"/>
  <c r="S731" i="2"/>
  <c r="B732" i="2"/>
  <c r="S732" i="2"/>
  <c r="B733" i="2"/>
  <c r="S733" i="2"/>
  <c r="B734" i="2"/>
  <c r="S734" i="2"/>
  <c r="B735" i="2"/>
  <c r="S735" i="2"/>
  <c r="B736" i="2"/>
  <c r="S736" i="2"/>
  <c r="B737" i="2"/>
  <c r="S737" i="2"/>
  <c r="B738" i="2"/>
  <c r="S738" i="2"/>
  <c r="B739" i="2"/>
  <c r="S739" i="2"/>
  <c r="B740" i="2"/>
  <c r="S740" i="2"/>
  <c r="B741" i="2"/>
  <c r="S741" i="2"/>
  <c r="B742" i="2"/>
  <c r="S742" i="2"/>
  <c r="B743" i="2"/>
  <c r="S743" i="2"/>
  <c r="B744" i="2"/>
  <c r="S744" i="2"/>
  <c r="B745" i="2"/>
  <c r="S745" i="2"/>
  <c r="B746" i="2"/>
  <c r="S746" i="2"/>
  <c r="B747" i="2"/>
  <c r="S747" i="2"/>
  <c r="B748" i="2"/>
  <c r="S748" i="2"/>
  <c r="B749" i="2"/>
  <c r="S749" i="2"/>
  <c r="B750" i="2"/>
  <c r="S750" i="2"/>
  <c r="B751" i="2"/>
  <c r="S751" i="2"/>
  <c r="B752" i="2"/>
  <c r="S752" i="2"/>
  <c r="B753" i="2"/>
  <c r="S753" i="2"/>
  <c r="B754" i="2"/>
  <c r="S754" i="2"/>
  <c r="S755" i="2"/>
  <c r="S756" i="2"/>
  <c r="S757" i="2"/>
  <c r="S758" i="2"/>
  <c r="S759" i="2"/>
  <c r="B760" i="2"/>
  <c r="S760" i="2"/>
  <c r="B761" i="2"/>
  <c r="S761" i="2"/>
  <c r="B762" i="2"/>
  <c r="S762" i="2"/>
  <c r="B763" i="2"/>
  <c r="S763" i="2"/>
  <c r="B764" i="2"/>
  <c r="S764" i="2"/>
  <c r="B765" i="2"/>
  <c r="S765" i="2"/>
  <c r="B766" i="2"/>
  <c r="S766" i="2"/>
  <c r="B767" i="2"/>
  <c r="S767" i="2"/>
  <c r="B768" i="2"/>
  <c r="S768" i="2"/>
  <c r="B769" i="2"/>
  <c r="S769" i="2"/>
  <c r="B770" i="2"/>
  <c r="S770" i="2"/>
  <c r="B771" i="2"/>
  <c r="S771" i="2"/>
  <c r="B772" i="2"/>
  <c r="S772" i="2"/>
  <c r="B773" i="2"/>
  <c r="S773" i="2"/>
  <c r="B774" i="2"/>
  <c r="S774" i="2"/>
  <c r="B775" i="2"/>
  <c r="S775" i="2"/>
  <c r="B776" i="2"/>
  <c r="S776" i="2"/>
  <c r="B777" i="2"/>
  <c r="S777" i="2"/>
  <c r="B778" i="2"/>
  <c r="S778" i="2"/>
  <c r="B779" i="2"/>
  <c r="S779" i="2"/>
  <c r="B780" i="2"/>
  <c r="S780" i="2"/>
  <c r="B781" i="2"/>
  <c r="S781" i="2"/>
  <c r="B782" i="2"/>
  <c r="S782" i="2"/>
  <c r="B783" i="2"/>
  <c r="S783" i="2"/>
  <c r="B784" i="2"/>
  <c r="S784" i="2"/>
  <c r="B785" i="2"/>
  <c r="S785" i="2"/>
  <c r="B786" i="2"/>
  <c r="S786" i="2"/>
  <c r="B787" i="2"/>
  <c r="S787" i="2"/>
  <c r="B788" i="2"/>
  <c r="S788" i="2"/>
  <c r="B789" i="2"/>
  <c r="S789" i="2"/>
  <c r="B790" i="2"/>
  <c r="S790" i="2"/>
  <c r="B791" i="2"/>
  <c r="S791" i="2"/>
  <c r="B792" i="2"/>
  <c r="S792" i="2"/>
  <c r="B793" i="2"/>
  <c r="S793" i="2"/>
  <c r="B794" i="2"/>
  <c r="S794" i="2"/>
  <c r="B795" i="2"/>
  <c r="S795" i="2"/>
  <c r="B796" i="2"/>
  <c r="S796" i="2"/>
  <c r="B797" i="2"/>
  <c r="S797" i="2"/>
  <c r="B798" i="2"/>
  <c r="S798" i="2"/>
  <c r="B799" i="2"/>
  <c r="S799" i="2"/>
  <c r="B800" i="2"/>
  <c r="S800" i="2"/>
  <c r="B801" i="2"/>
  <c r="S801" i="2"/>
  <c r="B802" i="2"/>
  <c r="S802" i="2"/>
  <c r="B803" i="2"/>
  <c r="S803" i="2"/>
  <c r="B804" i="2"/>
  <c r="S804" i="2"/>
  <c r="B805" i="2"/>
  <c r="S805" i="2"/>
  <c r="B806" i="2"/>
  <c r="S806" i="2"/>
  <c r="B807" i="2"/>
  <c r="S807" i="2"/>
  <c r="B808" i="2"/>
  <c r="S808" i="2"/>
  <c r="B809" i="2"/>
  <c r="S809" i="2"/>
  <c r="B810" i="2"/>
  <c r="S810" i="2"/>
  <c r="B811" i="2"/>
  <c r="S811" i="2"/>
  <c r="B812" i="2"/>
  <c r="S812" i="2"/>
  <c r="B813" i="2"/>
  <c r="S813" i="2"/>
  <c r="B814" i="2"/>
  <c r="S814" i="2"/>
  <c r="B815" i="2"/>
  <c r="S815" i="2"/>
  <c r="B816" i="2"/>
  <c r="S816" i="2"/>
  <c r="B817" i="2"/>
  <c r="S817" i="2"/>
  <c r="B818" i="2"/>
  <c r="S818" i="2"/>
  <c r="B819" i="2"/>
  <c r="S819" i="2"/>
  <c r="B820" i="2"/>
  <c r="S820" i="2"/>
  <c r="B821" i="2"/>
  <c r="S821" i="2"/>
  <c r="B822" i="2"/>
  <c r="S822" i="2"/>
  <c r="B823" i="2"/>
  <c r="S823" i="2"/>
  <c r="B824" i="2"/>
  <c r="S824" i="2"/>
  <c r="B825" i="2"/>
  <c r="S825" i="2"/>
  <c r="B826" i="2"/>
  <c r="S826" i="2"/>
  <c r="B827" i="2"/>
  <c r="S827" i="2"/>
  <c r="B828" i="2"/>
  <c r="S828" i="2"/>
  <c r="B829" i="2"/>
  <c r="S829" i="2"/>
  <c r="B830" i="2"/>
  <c r="S830" i="2"/>
  <c r="B831" i="2"/>
  <c r="S831" i="2"/>
  <c r="B832" i="2"/>
  <c r="S832" i="2"/>
  <c r="B833" i="2"/>
  <c r="S833" i="2"/>
  <c r="B834" i="2"/>
  <c r="S834" i="2"/>
  <c r="B835" i="2"/>
  <c r="S835" i="2"/>
  <c r="B836" i="2"/>
  <c r="S836" i="2"/>
  <c r="B837" i="2"/>
  <c r="S837" i="2"/>
  <c r="B838" i="2"/>
  <c r="S838" i="2"/>
  <c r="B839" i="2"/>
  <c r="S839" i="2"/>
  <c r="B840" i="2"/>
  <c r="S840" i="2"/>
  <c r="B841" i="2"/>
  <c r="S841" i="2"/>
  <c r="B842" i="2"/>
  <c r="S842" i="2"/>
  <c r="B843" i="2"/>
  <c r="S843" i="2"/>
  <c r="B844" i="2"/>
  <c r="S844" i="2"/>
  <c r="B845" i="2"/>
  <c r="S845" i="2"/>
  <c r="B846" i="2"/>
  <c r="S846" i="2"/>
  <c r="B847" i="2"/>
  <c r="S847" i="2"/>
  <c r="B848" i="2"/>
  <c r="S848" i="2"/>
  <c r="B849" i="2"/>
  <c r="S849" i="2"/>
  <c r="B850" i="2"/>
  <c r="S850" i="2"/>
  <c r="B851" i="2"/>
  <c r="S851" i="2"/>
  <c r="B852" i="2"/>
  <c r="S852" i="2"/>
  <c r="B853" i="2"/>
  <c r="S853" i="2"/>
  <c r="B854" i="2"/>
  <c r="S854" i="2"/>
  <c r="B855" i="2"/>
  <c r="S855" i="2"/>
  <c r="B856" i="2"/>
  <c r="S856" i="2"/>
  <c r="B857" i="2"/>
  <c r="S857" i="2"/>
  <c r="B858" i="2"/>
  <c r="S858" i="2"/>
  <c r="B859" i="2"/>
  <c r="S859" i="2"/>
  <c r="B860" i="2"/>
  <c r="S860" i="2"/>
  <c r="B861" i="2"/>
  <c r="S861" i="2"/>
  <c r="B862" i="2"/>
  <c r="S862" i="2"/>
  <c r="B863" i="2"/>
  <c r="S863" i="2"/>
  <c r="B864" i="2"/>
  <c r="S864" i="2"/>
  <c r="B865" i="2"/>
  <c r="S865" i="2"/>
  <c r="B866" i="2"/>
  <c r="S866" i="2"/>
  <c r="B867" i="2"/>
  <c r="S867" i="2"/>
  <c r="B868" i="2"/>
  <c r="S868" i="2"/>
  <c r="B869" i="2"/>
  <c r="S869" i="2"/>
  <c r="B870" i="2"/>
  <c r="S870" i="2"/>
  <c r="B871" i="2"/>
  <c r="S871" i="2"/>
  <c r="B872" i="2"/>
  <c r="S872" i="2"/>
  <c r="B873" i="2"/>
  <c r="S873" i="2"/>
  <c r="B874" i="2"/>
  <c r="S874" i="2"/>
  <c r="B875" i="2"/>
  <c r="S875" i="2"/>
  <c r="B876" i="2"/>
  <c r="S876" i="2"/>
  <c r="B877" i="2"/>
  <c r="S877" i="2"/>
  <c r="B878" i="2"/>
  <c r="S878" i="2"/>
  <c r="B879" i="2"/>
  <c r="S879" i="2"/>
  <c r="B880" i="2"/>
  <c r="S880" i="2"/>
  <c r="B881" i="2"/>
  <c r="S881" i="2"/>
  <c r="B882" i="2"/>
  <c r="S882" i="2"/>
  <c r="B883" i="2"/>
  <c r="S883" i="2"/>
  <c r="B884" i="2"/>
  <c r="S884" i="2"/>
  <c r="B885" i="2"/>
  <c r="S885" i="2"/>
  <c r="B886" i="2"/>
  <c r="S886" i="2"/>
  <c r="B887" i="2"/>
  <c r="S887" i="2"/>
  <c r="B888" i="2"/>
  <c r="S888" i="2"/>
  <c r="B889" i="2"/>
  <c r="S889" i="2"/>
  <c r="B890" i="2"/>
  <c r="S890" i="2"/>
  <c r="B891" i="2"/>
  <c r="S891" i="2"/>
  <c r="B892" i="2"/>
  <c r="S892" i="2"/>
  <c r="B893" i="2"/>
  <c r="S893" i="2"/>
  <c r="B894" i="2"/>
  <c r="S894" i="2"/>
  <c r="B895" i="2"/>
  <c r="S895" i="2"/>
  <c r="B896" i="2"/>
  <c r="S896" i="2"/>
  <c r="B897" i="2"/>
  <c r="S897" i="2"/>
  <c r="B898" i="2"/>
  <c r="S898" i="2"/>
  <c r="B899" i="2"/>
  <c r="S899" i="2"/>
  <c r="B900" i="2"/>
  <c r="S900" i="2"/>
  <c r="B901" i="2"/>
  <c r="S901" i="2"/>
  <c r="B902" i="2"/>
  <c r="S902" i="2"/>
  <c r="B903" i="2"/>
  <c r="S903" i="2"/>
  <c r="B904" i="2"/>
  <c r="S904" i="2"/>
  <c r="B905" i="2"/>
  <c r="S905" i="2"/>
  <c r="B906" i="2"/>
  <c r="S906" i="2"/>
  <c r="B907" i="2"/>
  <c r="S907" i="2"/>
  <c r="B908" i="2"/>
  <c r="S908" i="2"/>
  <c r="B909" i="2"/>
  <c r="S909" i="2"/>
  <c r="B910" i="2"/>
  <c r="S910" i="2"/>
  <c r="B911" i="2"/>
  <c r="S911" i="2"/>
  <c r="B912" i="2"/>
  <c r="S912" i="2"/>
  <c r="B913" i="2"/>
  <c r="S913" i="2"/>
  <c r="B914" i="2"/>
  <c r="S914" i="2"/>
  <c r="B915" i="2"/>
  <c r="S915" i="2"/>
  <c r="B916" i="2"/>
  <c r="S916" i="2"/>
  <c r="B917" i="2"/>
  <c r="S917" i="2"/>
  <c r="B918" i="2"/>
  <c r="S918" i="2"/>
  <c r="B919" i="2"/>
  <c r="S919" i="2"/>
  <c r="B920" i="2"/>
  <c r="S920" i="2"/>
  <c r="B921" i="2"/>
  <c r="S921" i="2"/>
  <c r="B922" i="2"/>
  <c r="S922" i="2"/>
  <c r="B923" i="2"/>
  <c r="S923" i="2"/>
  <c r="B924" i="2"/>
  <c r="S924" i="2"/>
  <c r="B925" i="2"/>
  <c r="S925" i="2"/>
  <c r="B926" i="2"/>
  <c r="S926" i="2"/>
  <c r="B927" i="2"/>
  <c r="S927" i="2"/>
  <c r="B928" i="2"/>
  <c r="S928" i="2"/>
  <c r="B929" i="2"/>
  <c r="S929" i="2"/>
  <c r="B930" i="2"/>
  <c r="S930" i="2"/>
  <c r="B931" i="2"/>
  <c r="S931" i="2"/>
  <c r="B932" i="2"/>
  <c r="S932" i="2"/>
  <c r="B933" i="2"/>
  <c r="S933" i="2"/>
  <c r="B934" i="2"/>
  <c r="S934" i="2"/>
  <c r="B935" i="2"/>
  <c r="S935" i="2"/>
  <c r="B936" i="2"/>
  <c r="S936" i="2"/>
  <c r="B937" i="2"/>
  <c r="S937" i="2"/>
  <c r="B938" i="2"/>
  <c r="S938" i="2"/>
  <c r="B939" i="2"/>
  <c r="S939" i="2"/>
  <c r="B940" i="2"/>
  <c r="S940" i="2"/>
  <c r="B941" i="2"/>
  <c r="S941" i="2"/>
  <c r="B942" i="2"/>
  <c r="S942" i="2"/>
  <c r="B943" i="2"/>
  <c r="S943" i="2"/>
  <c r="B944" i="2"/>
  <c r="S944" i="2"/>
  <c r="B945" i="2"/>
  <c r="S945" i="2"/>
  <c r="B946" i="2"/>
  <c r="S946" i="2"/>
  <c r="B947" i="2"/>
  <c r="S947" i="2"/>
  <c r="B948" i="2"/>
  <c r="S948" i="2"/>
  <c r="B949" i="2"/>
  <c r="S949" i="2"/>
  <c r="B950" i="2"/>
  <c r="S950" i="2"/>
  <c r="B951" i="2"/>
  <c r="S951" i="2"/>
  <c r="B952" i="2"/>
  <c r="S952" i="2"/>
  <c r="B953" i="2"/>
  <c r="S953" i="2"/>
  <c r="B954" i="2"/>
  <c r="S954" i="2"/>
  <c r="B955" i="2"/>
  <c r="S955" i="2"/>
  <c r="B956" i="2"/>
  <c r="S956" i="2"/>
  <c r="B957" i="2"/>
  <c r="S957" i="2"/>
  <c r="B958" i="2"/>
  <c r="S958" i="2"/>
  <c r="B959" i="2"/>
  <c r="S959" i="2"/>
  <c r="B960" i="2"/>
  <c r="S960" i="2"/>
  <c r="B961" i="2"/>
  <c r="S961" i="2"/>
  <c r="B962" i="2"/>
  <c r="S962" i="2"/>
  <c r="B963" i="2"/>
  <c r="S963" i="2"/>
  <c r="B964" i="2"/>
  <c r="S964" i="2"/>
  <c r="B965" i="2"/>
  <c r="S965" i="2"/>
  <c r="B966" i="2"/>
  <c r="S966" i="2"/>
  <c r="B967" i="2"/>
  <c r="S967" i="2"/>
  <c r="B968" i="2"/>
  <c r="S968" i="2"/>
  <c r="B969" i="2"/>
  <c r="S969" i="2"/>
  <c r="B970" i="2"/>
  <c r="S970" i="2"/>
  <c r="B971" i="2"/>
  <c r="S971" i="2"/>
  <c r="B972" i="2"/>
  <c r="S972" i="2"/>
  <c r="B973" i="2"/>
  <c r="S973" i="2"/>
  <c r="B974" i="2"/>
  <c r="S974" i="2"/>
  <c r="B975" i="2"/>
  <c r="S975" i="2"/>
  <c r="B976" i="2"/>
  <c r="S976" i="2"/>
  <c r="B977" i="2"/>
  <c r="S977" i="2"/>
  <c r="B978" i="2"/>
  <c r="S978" i="2"/>
  <c r="B979" i="2"/>
  <c r="S979" i="2"/>
  <c r="B980" i="2"/>
  <c r="S980" i="2"/>
  <c r="B981" i="2"/>
  <c r="S981" i="2"/>
  <c r="B982" i="2"/>
  <c r="S982" i="2"/>
  <c r="B983" i="2"/>
  <c r="S983" i="2"/>
  <c r="B984" i="2"/>
  <c r="S984" i="2"/>
  <c r="B985" i="2"/>
  <c r="S985" i="2"/>
  <c r="B986" i="2"/>
  <c r="S986" i="2"/>
  <c r="B987" i="2"/>
  <c r="S987" i="2"/>
  <c r="B988" i="2"/>
  <c r="S988" i="2"/>
  <c r="B989" i="2"/>
  <c r="S989" i="2"/>
  <c r="B990" i="2"/>
  <c r="S990" i="2"/>
  <c r="B991" i="2"/>
  <c r="S991" i="2"/>
  <c r="B992" i="2"/>
  <c r="S992" i="2"/>
  <c r="B993" i="2"/>
  <c r="S993" i="2"/>
  <c r="B994" i="2"/>
  <c r="S994" i="2"/>
  <c r="B995" i="2"/>
  <c r="S995" i="2"/>
  <c r="B996" i="2"/>
  <c r="S996" i="2"/>
  <c r="B997" i="2"/>
  <c r="S997" i="2"/>
  <c r="B998" i="2"/>
  <c r="S998" i="2"/>
  <c r="B999" i="2"/>
  <c r="S999" i="2"/>
  <c r="B1000" i="2"/>
  <c r="S1000" i="2"/>
  <c r="B1001" i="2"/>
  <c r="S1001" i="2"/>
  <c r="B1002" i="2"/>
  <c r="S1002" i="2"/>
  <c r="B1003" i="2"/>
  <c r="S1003" i="2"/>
  <c r="B1004" i="2"/>
  <c r="S1004" i="2"/>
  <c r="B1005" i="2"/>
  <c r="S1005" i="2"/>
  <c r="B1006" i="2"/>
  <c r="S1006" i="2"/>
  <c r="B1007" i="2"/>
  <c r="S1007" i="2"/>
  <c r="B1008" i="2"/>
  <c r="S1008" i="2"/>
  <c r="B1009" i="2"/>
  <c r="S1009" i="2"/>
  <c r="B1010" i="2"/>
  <c r="S1010" i="2"/>
  <c r="B1011" i="2"/>
  <c r="S1011" i="2"/>
  <c r="B1012" i="2"/>
  <c r="S1012" i="2"/>
  <c r="B1013" i="2"/>
  <c r="S1013" i="2"/>
  <c r="B1014" i="2"/>
  <c r="S1014" i="2"/>
  <c r="B1015" i="2"/>
  <c r="S1015" i="2"/>
  <c r="B1016" i="2"/>
  <c r="S1016" i="2"/>
  <c r="B1017" i="2"/>
  <c r="S1017" i="2"/>
  <c r="B1018" i="2"/>
  <c r="S1018" i="2"/>
  <c r="B1019" i="2"/>
  <c r="S1019" i="2"/>
  <c r="B1020" i="2"/>
  <c r="S1020" i="2"/>
  <c r="B1021" i="2"/>
  <c r="S1021" i="2"/>
  <c r="B1022" i="2"/>
  <c r="S1022" i="2"/>
  <c r="B1023" i="2"/>
  <c r="S1023" i="2"/>
  <c r="B1024" i="2"/>
  <c r="S1024" i="2"/>
  <c r="B1025" i="2"/>
  <c r="S1025" i="2"/>
  <c r="B1026" i="2"/>
  <c r="S1026" i="2"/>
  <c r="B1027" i="2"/>
  <c r="S1027" i="2"/>
  <c r="B1028" i="2"/>
  <c r="S1028" i="2"/>
  <c r="B1029" i="2"/>
  <c r="S1029" i="2"/>
  <c r="B1030" i="2"/>
  <c r="S1030" i="2"/>
  <c r="B1031" i="2"/>
  <c r="S1031" i="2"/>
  <c r="B1032" i="2"/>
  <c r="S1032" i="2"/>
  <c r="B1033" i="2"/>
  <c r="S1033" i="2"/>
  <c r="B1034" i="2"/>
  <c r="S1034" i="2"/>
  <c r="B1035" i="2"/>
  <c r="S1035" i="2"/>
  <c r="B1036" i="2"/>
  <c r="S1036" i="2"/>
  <c r="B1037" i="2"/>
  <c r="S1037" i="2"/>
  <c r="B1038" i="2"/>
  <c r="S1038" i="2"/>
  <c r="B1039" i="2"/>
  <c r="S1039" i="2"/>
  <c r="B1040" i="2"/>
  <c r="S1040" i="2"/>
  <c r="B1041" i="2"/>
  <c r="S1041" i="2"/>
  <c r="B1042" i="2"/>
  <c r="S1042" i="2"/>
  <c r="B1043" i="2"/>
  <c r="S1043" i="2"/>
  <c r="B1044" i="2"/>
  <c r="S1044" i="2"/>
  <c r="B1045" i="2"/>
  <c r="S1045" i="2"/>
  <c r="B1046" i="2"/>
  <c r="S1046" i="2"/>
  <c r="B1047" i="2"/>
  <c r="S1047" i="2"/>
  <c r="B1048" i="2"/>
  <c r="S1048" i="2"/>
  <c r="B1049" i="2"/>
  <c r="S1049" i="2"/>
  <c r="B1050" i="2"/>
  <c r="S1050" i="2"/>
  <c r="B1051" i="2"/>
  <c r="S1051" i="2"/>
  <c r="B1052" i="2"/>
  <c r="S1052" i="2"/>
  <c r="B1053" i="2"/>
  <c r="S1053" i="2"/>
  <c r="B1054" i="2"/>
  <c r="S1054" i="2"/>
  <c r="B1055" i="2"/>
  <c r="S1055" i="2"/>
  <c r="B1056" i="2"/>
  <c r="S1056" i="2"/>
  <c r="B1057" i="2"/>
  <c r="S1057" i="2"/>
  <c r="B1058" i="2"/>
  <c r="S1058" i="2"/>
  <c r="B1059" i="2"/>
  <c r="S1059" i="2"/>
  <c r="B1060" i="2"/>
  <c r="S1060" i="2"/>
  <c r="B1061" i="2"/>
  <c r="S1061" i="2"/>
  <c r="B1062" i="2"/>
  <c r="S1062" i="2"/>
  <c r="B1063" i="2"/>
  <c r="S1063" i="2"/>
  <c r="B1064" i="2"/>
  <c r="S1064" i="2"/>
  <c r="B1065" i="2"/>
  <c r="S1065" i="2"/>
  <c r="B1066" i="2"/>
  <c r="S1066" i="2"/>
  <c r="B1067" i="2"/>
  <c r="S1067" i="2"/>
  <c r="B1068" i="2"/>
  <c r="S1068" i="2"/>
  <c r="B1069" i="2"/>
  <c r="S1069" i="2"/>
  <c r="B1070" i="2"/>
  <c r="S1070" i="2"/>
  <c r="B1071" i="2"/>
  <c r="S1071" i="2"/>
  <c r="B1072" i="2"/>
  <c r="S1072" i="2"/>
  <c r="B1073" i="2"/>
  <c r="S1073" i="2"/>
  <c r="B1074" i="2"/>
  <c r="S1074" i="2"/>
  <c r="B1075" i="2"/>
  <c r="S1075" i="2"/>
  <c r="B1076" i="2"/>
  <c r="S1076" i="2"/>
  <c r="B1077" i="2"/>
  <c r="S1077" i="2"/>
  <c r="B1078" i="2"/>
  <c r="S1078" i="2"/>
  <c r="B1079" i="2"/>
  <c r="S1079" i="2"/>
  <c r="B1080" i="2"/>
  <c r="S1080" i="2"/>
  <c r="B1081" i="2"/>
  <c r="S1081" i="2"/>
  <c r="B1082" i="2"/>
  <c r="S1082" i="2"/>
  <c r="B1083" i="2"/>
  <c r="S1083" i="2"/>
  <c r="B1084" i="2"/>
  <c r="S1084" i="2"/>
  <c r="B1085" i="2"/>
  <c r="S1085" i="2"/>
  <c r="B1086" i="2"/>
  <c r="S1086" i="2"/>
  <c r="B1087" i="2"/>
  <c r="S1087" i="2"/>
  <c r="B1088" i="2"/>
  <c r="S1088" i="2"/>
  <c r="B1089" i="2"/>
  <c r="S1089" i="2"/>
  <c r="B1090" i="2"/>
  <c r="S1090" i="2"/>
  <c r="B1091" i="2"/>
  <c r="S1091" i="2"/>
  <c r="B1092" i="2"/>
  <c r="S1092" i="2"/>
  <c r="B1093" i="2"/>
  <c r="S1093" i="2"/>
  <c r="B1094" i="2"/>
  <c r="S1094" i="2"/>
  <c r="B1095" i="2"/>
  <c r="S1095" i="2"/>
  <c r="B1096" i="2"/>
  <c r="S1096" i="2"/>
  <c r="B1097" i="2"/>
  <c r="S1097" i="2"/>
  <c r="B1098" i="2"/>
  <c r="S1098" i="2"/>
  <c r="B1099" i="2"/>
  <c r="S1099" i="2"/>
  <c r="B1100" i="2"/>
  <c r="S1100" i="2"/>
  <c r="B1101" i="2"/>
  <c r="S1101" i="2"/>
  <c r="B1102" i="2"/>
  <c r="S1102" i="2"/>
  <c r="B1103" i="2"/>
  <c r="S1103" i="2"/>
  <c r="B1104" i="2"/>
  <c r="S1104" i="2"/>
  <c r="B1105" i="2"/>
  <c r="S1105" i="2"/>
  <c r="B1106" i="2"/>
  <c r="S1106" i="2"/>
  <c r="B1107" i="2"/>
  <c r="S1107" i="2"/>
  <c r="B1108" i="2"/>
  <c r="S1108" i="2"/>
  <c r="B1109" i="2"/>
  <c r="S1109" i="2"/>
  <c r="B1110" i="2"/>
  <c r="S1110" i="2"/>
  <c r="B1111" i="2"/>
  <c r="S1111" i="2"/>
  <c r="B1112" i="2"/>
  <c r="S1112" i="2"/>
  <c r="B1113" i="2"/>
  <c r="S1113" i="2"/>
</calcChain>
</file>

<file path=xl/sharedStrings.xml><?xml version="1.0" encoding="utf-8"?>
<sst xmlns="http://schemas.openxmlformats.org/spreadsheetml/2006/main" count="11172" uniqueCount="939">
  <si>
    <t>Hunt BOSTON® Vista® Battery-Operated Pencil Sharpener, Black</t>
  </si>
  <si>
    <t>Xerox 1949</t>
  </si>
  <si>
    <t>i470</t>
  </si>
  <si>
    <t>Imation IBM Formatted Diskettes, 100/Pack</t>
  </si>
  <si>
    <t>Adams Write n' Stick Phone Message Book, 11" X 5 1/4", 200 Messages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</si>
  <si>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</si>
  <si>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</si>
  <si>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</si>
  <si>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</si>
  <si>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</si>
  <si>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</si>
  <si>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</si>
  <si>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</si>
  <si>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</si>
  <si>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</si>
  <si>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</si>
  <si>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Avery 51</t>
  </si>
  <si>
    <t>Wilson Jones 1" Hanging DublLock® Ring Binders</t>
  </si>
  <si>
    <t>Staples Metal Binder Clips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</si>
  <si>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</si>
  <si>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</si>
  <si>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</si>
  <si>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</si>
  <si>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</si>
  <si>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</si>
  <si>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</si>
  <si>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</si>
  <si>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</si>
  <si>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</si>
  <si>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</si>
  <si>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</si>
  <si>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</si>
  <si>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Newell 312</t>
  </si>
  <si>
    <t>Hewlett-Packard Deskjet 5550 Color Inkjet Printer</t>
  </si>
  <si>
    <t>Eldon Portable Mobile Manager</t>
  </si>
  <si>
    <t>Eldon® 400 Class™ Desk Accessories, Black Carbon</t>
  </si>
  <si>
    <t>3M Office Air Cleaner</t>
  </si>
  <si>
    <t>Hanging Personal Folder File</t>
  </si>
  <si>
    <t>Boston KS Multi-Size Manual Pencil Sharpener</t>
  </si>
  <si>
    <t>Xerox 1908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</si>
  <si>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</si>
  <si>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</si>
  <si>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</si>
  <si>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</si>
  <si>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</si>
  <si>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</si>
  <si>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Xerox 1971</t>
  </si>
  <si>
    <t>Cardinal Poly Pocket Divider Pockets for Ring Binders</t>
  </si>
  <si>
    <t>Letter Slitter</t>
  </si>
  <si>
    <t>SAFCO Mobile Desk Side File, Wire Frame</t>
  </si>
  <si>
    <t>Newell 314</t>
  </si>
  <si>
    <t>Xerox 188</t>
  </si>
  <si>
    <t>Safco Value Mate Steel Bookcase, Baked Enamel Finish on Steel, Black</t>
  </si>
  <si>
    <t>DAX Copper Panel Document Frame, 5 x 7 Size</t>
  </si>
  <si>
    <t>Seth Thomas 12" Clock w/ Goldtone Case</t>
  </si>
  <si>
    <t>Tennsco Lockers, Gray</t>
  </si>
  <si>
    <t>Riverside Palais Royal Lawyers Bookcase, Royale Cherry Finish</t>
  </si>
  <si>
    <t>Peel &amp; Seel® Recycled Catalog Envelopes, Brown</t>
  </si>
  <si>
    <t>Accessory39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</si>
  <si>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</si>
  <si>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</si>
  <si>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</si>
  <si>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</si>
  <si>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</si>
  <si>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</si>
  <si>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</si>
  <si>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IBM Numeric Access II Keypad, 17-Key, Black</t>
  </si>
  <si>
    <t>Sanford Colorific Colored Pencils, 12/Box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</si>
  <si>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</si>
  <si>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</si>
  <si>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</si>
  <si>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</si>
  <si>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</si>
  <si>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</si>
  <si>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</si>
  <si>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Hand-Finished Solid Wood Document Frame</t>
  </si>
  <si>
    <t>Maxell DVD-RAM Discs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</si>
  <si>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</si>
  <si>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</si>
  <si>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</si>
  <si>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</si>
  <si>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</si>
  <si>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Magna Visual Magnetic Picture Hangers</t>
  </si>
  <si>
    <t>Rediform Wirebound "Phone Memo" Message Book, 11 x 5-3/4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</si>
  <si>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</si>
  <si>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</si>
  <si>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</si>
  <si>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</si>
  <si>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</si>
  <si>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</si>
  <si>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</si>
  <si>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Hewlett Packard LaserJet 3310 Copier</t>
  </si>
  <si>
    <t>Global High-Back Leather Tilter, Burgundy</t>
  </si>
  <si>
    <t>Advantus Push Pins, Aluminum Head</t>
  </si>
  <si>
    <t>Global Leather Task Chair, Black</t>
  </si>
  <si>
    <t>Sharp EL500L Fraction Calculator</t>
  </si>
  <si>
    <t>Acme® Elite Stainless Steel Scissors</t>
  </si>
  <si>
    <t>DAX Natural Wood-Tone Poster Frame</t>
  </si>
  <si>
    <t>Martin Yale Chadless Opener Electric Letter Opener</t>
  </si>
  <si>
    <t>282</t>
  </si>
  <si>
    <t>Verbatim 4.7GB DVD-R</t>
  </si>
  <si>
    <t>Array® Parchment Paper, Assorted Colors</t>
  </si>
  <si>
    <t>Brown Kraft Recycled Envelopes</t>
  </si>
  <si>
    <t>Xerox 1984</t>
  </si>
  <si>
    <t>Dual Level, Single-Width Filing Carts</t>
  </si>
  <si>
    <t>Sterling Rubber Bands by Alliance</t>
  </si>
  <si>
    <t>Advantus Push Pins</t>
  </si>
  <si>
    <t>Hammermill Color Copier Paper (28Lb. and 96 Bright)</t>
  </si>
  <si>
    <t>KF 788</t>
  </si>
  <si>
    <t>5185</t>
  </si>
  <si>
    <t>Home/Office Personal File Carts</t>
  </si>
  <si>
    <t>Xerox 207</t>
  </si>
  <si>
    <t>3M Polarizing Light Filter Sleeves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</si>
  <si>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</si>
  <si>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</si>
  <si>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</si>
  <si>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</si>
  <si>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</si>
  <si>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</si>
  <si>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</si>
  <si>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</si>
  <si>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</si>
  <si>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Microsoft Multimedia Keyboard</t>
  </si>
  <si>
    <t>12-1/2 Diameter Round Wall Clock</t>
  </si>
  <si>
    <t>MicroTAC 650</t>
  </si>
  <si>
    <t>Jennifer Patt</t>
  </si>
  <si>
    <t>Bevis Rectangular Conference Tables</t>
  </si>
  <si>
    <t>Boston 1730 StandUp Electric Pencil Sharpener</t>
  </si>
  <si>
    <t>Staples Bulldog Clip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</si>
  <si>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</si>
  <si>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</si>
  <si>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</si>
  <si>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</si>
  <si>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</si>
  <si>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6120</t>
  </si>
  <si>
    <t>BoxOffice By Design Rectangular and Half-Moon Meeting Room Tables</t>
  </si>
  <si>
    <t>Chromcraft Bull-Nose Wood Oval Conference Tables &amp; Bases</t>
  </si>
  <si>
    <t>Xerox 190</t>
  </si>
  <si>
    <t>Global Enterprise Series Seating High-Back Swivel/Tilt Chairs</t>
  </si>
  <si>
    <t>Avery 508</t>
  </si>
  <si>
    <t>Array® Memo Cubes</t>
  </si>
  <si>
    <t>Polycom ViewStation™ ISDN Videoconferencing Unit</t>
  </si>
  <si>
    <t>Xerox 1885</t>
  </si>
  <si>
    <t>Eureka Disposable Bags for Sanitaire® Vibra Groomer I® Upright Vac</t>
  </si>
  <si>
    <t>Newell 327</t>
  </si>
  <si>
    <t>Gyration RF Keyboard</t>
  </si>
  <si>
    <t>Xerox 1966</t>
  </si>
  <si>
    <t>BOSTON® Ranger® #55 Pencil Sharpener, Black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</si>
  <si>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</si>
  <si>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</si>
  <si>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</si>
  <si>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</si>
  <si>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</si>
  <si>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</si>
  <si>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</si>
  <si>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</si>
  <si>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Seth Thomas 14" Putty-Colored Wall Clock</t>
  </si>
  <si>
    <t>Hon 4070 Series Pagoda™ Armless Upholstered Stacking Chairs</t>
  </si>
  <si>
    <t>Xerox 1992</t>
  </si>
  <si>
    <t>Accessory6</t>
  </si>
  <si>
    <t>636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</si>
  <si>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</si>
  <si>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</si>
  <si>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</si>
  <si>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</si>
  <si>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</si>
  <si>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Sauder Forest Hills Library, Woodland Oak Finish</t>
  </si>
  <si>
    <t>Chromcraft Rectangular Conference Tables</t>
  </si>
  <si>
    <t>StarTAC 7760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</si>
  <si>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</si>
  <si>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</si>
  <si>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</si>
  <si>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</si>
  <si>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</si>
  <si>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</si>
  <si>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</si>
  <si>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</si>
  <si>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Memorex 'Cool' 80 Minute CD-R Spindle, 25/Pack</t>
  </si>
  <si>
    <t>Serrated Blade or Curved Handle Hand Letter Openers</t>
  </si>
  <si>
    <t>Newell 309</t>
  </si>
  <si>
    <t>Phone 918</t>
  </si>
  <si>
    <t>Advantus Employee of the Month Certificate Frame, 11 x 13-1/2</t>
  </si>
  <si>
    <t>Eldon Expressions™ Desk Accessory, Wood Pencil Holder, Oak</t>
  </si>
  <si>
    <t>Unpadded Memo Slips</t>
  </si>
  <si>
    <t>Hon iLevel™ Computer Training Table</t>
  </si>
  <si>
    <t>Eldon Antistatic Chair Mats for Low to Medium Pile Carpets</t>
  </si>
  <si>
    <t>Riverleaf Stik-Withit® Designer Note Cubes®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</si>
  <si>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</si>
  <si>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</si>
  <si>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</si>
  <si>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</si>
  <si>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</si>
  <si>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</si>
  <si>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</si>
  <si>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</si>
  <si>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</si>
  <si>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</si>
  <si>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</si>
  <si>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</si>
  <si>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</si>
  <si>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</si>
  <si>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</si>
  <si>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</si>
  <si>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</si>
  <si>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Staples Brown Kraft Recycled Clasp Envelopes</t>
  </si>
  <si>
    <t>Keytronic 105-Key Spanish Keyboard</t>
  </si>
  <si>
    <t>Avery Hi-Liter® Fluorescent Desk Style Markers</t>
  </si>
  <si>
    <t>Xerox 1991</t>
  </si>
  <si>
    <t>Tennsco Regal Shelving Units</t>
  </si>
  <si>
    <t>Office Star Flex Back Scooter Chair with White Frame</t>
  </si>
  <si>
    <t>V2397</t>
  </si>
  <si>
    <t>Xerox 1880</t>
  </si>
  <si>
    <t>Acme Hot Forged Carbon Steel Scissors with Nickel-Plated Handles, 3 7/8" Cut, 8"L</t>
  </si>
  <si>
    <t>Newell 315</t>
  </si>
  <si>
    <t>R289LX</t>
  </si>
  <si>
    <t>Project Tote Personal File</t>
  </si>
  <si>
    <t>Accessory25</t>
  </si>
  <si>
    <t>Wilson Jones Custom Binder Spines &amp; Labels</t>
  </si>
  <si>
    <t>Staples 4 Outlet Surge Protector</t>
  </si>
  <si>
    <t>Airmail Envelopes</t>
  </si>
  <si>
    <t>Avery 494</t>
  </si>
  <si>
    <t>Bevis Steel Folding Chairs</t>
  </si>
  <si>
    <t>Advantus Panel Wall Acrylic Frame</t>
  </si>
  <si>
    <t>Round Ring Binders</t>
  </si>
  <si>
    <t>Xerox 1910</t>
  </si>
  <si>
    <t>Xerox 1994</t>
  </si>
  <si>
    <t>Eldon Simplefile® Box Office®</t>
  </si>
  <si>
    <t>Avery 485</t>
  </si>
  <si>
    <t>Tenex Contemporary Contur Chairmats for Low and Medium Pile Carpet, Computer, 39" x 49"</t>
  </si>
  <si>
    <t>Peel-Off® China Markers</t>
  </si>
  <si>
    <t>Peel &amp; Stick Add-On Corner Pockets</t>
  </si>
  <si>
    <t>Tripp Lite Isotel 8 Ultra 8 Outlet Metal Surge</t>
  </si>
  <si>
    <t>KH 688</t>
  </si>
  <si>
    <t>Xerox 1977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</si>
  <si>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</si>
  <si>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</si>
  <si>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</si>
  <si>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</si>
  <si>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</si>
  <si>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Xerox 2</t>
  </si>
  <si>
    <t>Acme Galleria® Hot Forged Steel Scissors with Colored Handles</t>
  </si>
  <si>
    <t>270c</t>
  </si>
  <si>
    <t>White Business Envelopes with Contemporary Seam, Recycled White Business Envelopes</t>
  </si>
  <si>
    <t>Hon Valutask™ Swivel Chairs</t>
  </si>
  <si>
    <t>Kensington 4 Outlet MasterPiece® Compact Power Control Center</t>
  </si>
  <si>
    <t>3390</t>
  </si>
  <si>
    <t>#10 White Business Envelopes,4 1/8 x 9 1/2</t>
  </si>
  <si>
    <t>Xerox 1896</t>
  </si>
  <si>
    <t>Ampad® Evidence® Wirebond Steno Books, 6" x 9"</t>
  </si>
  <si>
    <t>Acco Perma® 3000 Stacking Storage Drawers</t>
  </si>
  <si>
    <t>Fellowes Smart Surge Ten-Outlet Protector, Platinum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</si>
  <si>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</si>
  <si>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</si>
  <si>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</si>
  <si>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</si>
  <si>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</si>
  <si>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</si>
  <si>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</si>
  <si>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Acme® 8" Straight Scissors</t>
  </si>
  <si>
    <t>Hon Metal Bookcases, Black</t>
  </si>
  <si>
    <t>Imation 3.5", RTS 247544 3M 3.5 DSDD, 10/Pack</t>
  </si>
  <si>
    <t>Avery 481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</si>
  <si>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</si>
  <si>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</si>
  <si>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</si>
  <si>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</si>
  <si>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</si>
  <si>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Crayola Colored Pencils</t>
  </si>
  <si>
    <t>3285</t>
  </si>
  <si>
    <t>Safco Industrial Wire Shelving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</si>
  <si>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</si>
  <si>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</si>
  <si>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</si>
  <si>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</si>
  <si>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</si>
  <si>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#10- 4 1/8" x 9 1/2" Security-Tint Envelopes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</si>
  <si>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</si>
  <si>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</si>
  <si>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</si>
  <si>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</si>
  <si>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</si>
  <si>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197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</si>
  <si>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</si>
  <si>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</si>
  <si>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</si>
  <si>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</si>
  <si>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</si>
  <si>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</si>
  <si>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Canon imageCLASS 2200 Advanced Copier</t>
  </si>
  <si>
    <t>V66</t>
  </si>
  <si>
    <t>5170i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</si>
  <si>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</si>
  <si>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</si>
  <si>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</si>
  <si>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</si>
  <si>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</si>
  <si>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</si>
  <si>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</si>
  <si>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Bretford Rectangular Conference Table Tops</t>
  </si>
  <si>
    <t>Wirebound Message Books, Four 2 3/4" x 5" Forms per Page, 600 Sets per Book</t>
  </si>
  <si>
    <t>Newell 333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</si>
  <si>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</si>
  <si>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</si>
  <si>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</si>
  <si>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Hoover Upright Vacuum With Dirt Cup</t>
  </si>
  <si>
    <t>Ellis Ballard</t>
  </si>
  <si>
    <t>Xerox 1959</t>
  </si>
  <si>
    <t>DAX Metal Frame, Desktop, Stepped-Edge</t>
  </si>
  <si>
    <t>T65</t>
  </si>
  <si>
    <t>Staples 6 Outlet Surge</t>
  </si>
  <si>
    <t>Sanyo Counter Height Refrigerator with Crisper, 3.6 Cubic Foot, Stainless Steel/Black</t>
  </si>
  <si>
    <t>Rediform S.O.S. Phone Message Books</t>
  </si>
  <si>
    <t>Filing/Storage Totes and Swivel Casters</t>
  </si>
  <si>
    <t>Sharelle Roach</t>
  </si>
  <si>
    <t>Debra Catini</t>
  </si>
  <si>
    <t>Holmes Harmony HEPA Air Purifier for 17 x 20 Room</t>
  </si>
  <si>
    <t>Wirebound Message Forms, Four 2 3/4 x 5 Forms per Page, Pink Paper</t>
  </si>
  <si>
    <t>Avery Hi-Liter Pen Style Six-Color Fluorescent Set</t>
  </si>
  <si>
    <t>Staples Plastic Wall Frames</t>
  </si>
  <si>
    <t>Seth Thomas 13 1/2" Wall Clock</t>
  </si>
  <si>
    <t>Belkin 8 Outlet Surge Protector</t>
  </si>
  <si>
    <t>Avery 498</t>
  </si>
  <si>
    <t>Flexible Leather- Look Classic Collection Ring Binder</t>
  </si>
  <si>
    <t>Novimex Fabric Task Chair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</si>
  <si>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</si>
  <si>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</si>
  <si>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</si>
  <si>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</si>
  <si>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</si>
  <si>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Newell 307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</si>
  <si>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</si>
  <si>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</si>
  <si>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</si>
  <si>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</si>
  <si>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</si>
  <si>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</si>
  <si>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Okidata ML184 Turbo Dot Matrix Printers</t>
  </si>
  <si>
    <t>Electrix Incandescent Magnifying Lamp, Black</t>
  </si>
  <si>
    <t>Master Caster Door Stop, Large Neon Orange</t>
  </si>
  <si>
    <t>GBC Instant Index™ System for Binding Systems</t>
  </si>
  <si>
    <t>Hoover® Commercial Lightweight Upright Vacuum</t>
  </si>
  <si>
    <t>Manila Recycled Extra-Heavyweight Clasp Envelopes, 6" x 9"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</si>
  <si>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</si>
  <si>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</si>
  <si>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</si>
  <si>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</si>
  <si>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LX 788</t>
  </si>
  <si>
    <t>US Robotics 56K V.92 External Faxmodem</t>
  </si>
  <si>
    <t>SAFCO Optional Arm Kit for Workspace® Cribbage Stacking Chair</t>
  </si>
  <si>
    <t>O'Sullivan 5-Shelf Heavy-Duty Bookcases</t>
  </si>
  <si>
    <t>Binder Posts</t>
  </si>
  <si>
    <t>V3682</t>
  </si>
  <si>
    <t>210 Trimline Phone, White</t>
  </si>
  <si>
    <t>Xerox 1963</t>
  </si>
  <si>
    <t>Avery 506</t>
  </si>
  <si>
    <t>Xerox 196</t>
  </si>
  <si>
    <t>Portable Personal File Box</t>
  </si>
  <si>
    <t>Belkin F5C206VTEL 6 Outlet Surge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</si>
  <si>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</si>
  <si>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</si>
  <si>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</si>
  <si>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</si>
  <si>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</si>
  <si>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</si>
  <si>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</si>
  <si>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</si>
  <si>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Avery 52</t>
  </si>
  <si>
    <t>Avery Binder Labels</t>
  </si>
  <si>
    <t>Xerox 1891</t>
  </si>
  <si>
    <t>Eldon Executive Woodline II Cherry Finish Desk Accessories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</si>
  <si>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</si>
  <si>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</si>
  <si>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</si>
  <si>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</si>
  <si>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*Staples* Highlighting Markers</t>
  </si>
  <si>
    <t>GE 4 Foot Flourescent Tube, 40 Watt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</si>
  <si>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</si>
  <si>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</si>
  <si>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</si>
  <si>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</si>
  <si>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</si>
  <si>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</si>
  <si>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</si>
  <si>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</si>
  <si>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</si>
  <si>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</si>
  <si>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</si>
  <si>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Boston Model 1800 Electric Pencil Sharpener, Gray</t>
  </si>
  <si>
    <t>TDK 4.7GB DVD+RW</t>
  </si>
  <si>
    <t>Bush Advantage Collection® Round Conference Table</t>
  </si>
  <si>
    <t>252</t>
  </si>
  <si>
    <t>Computer Printout Paper with Letter-Trim Perforations</t>
  </si>
  <si>
    <t>Chromcraft 48" x 96" Racetrack Double Pedestal Table</t>
  </si>
  <si>
    <t>Boston School Pro Electric Pencil Sharpener, 1670</t>
  </si>
  <si>
    <t>Prang Drawing Pencil Set</t>
  </si>
  <si>
    <t>Master Caster Door Stop, Gray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</si>
  <si>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</si>
  <si>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</si>
  <si>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</si>
  <si>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</si>
  <si>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</si>
  <si>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</si>
  <si>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Eldon® 500 Class™ Desk Accessories</t>
  </si>
  <si>
    <t>Deanra Eno</t>
  </si>
  <si>
    <t>Black Print Carbonless Snap-Off® Rapid Letter, 8 1/2" x 7"</t>
  </si>
  <si>
    <t>Eldon® Expressions™ Wood Desk Accessories, Oak</t>
  </si>
  <si>
    <t>Epson LQ-570e Dot Matrix Printer</t>
  </si>
  <si>
    <t>Tuff Stuff™ Recycled Round Ring Binders</t>
  </si>
  <si>
    <t>Quincy Jones</t>
  </si>
  <si>
    <t>Fellowes Bankers Box™ Stor/Drawer® Steel Plus™</t>
  </si>
  <si>
    <t>Rush Hierlooms Collection Rich Wood Bookcases</t>
  </si>
  <si>
    <t>Staples Surge Protector 6 outlet</t>
  </si>
  <si>
    <t>Office Impressions Heavy Duty Welded Shelving &amp; Multimedia Storage Drawers</t>
  </si>
  <si>
    <t>Eaton Premium Continuous-Feed Paper, 25% Cotton, Letter Size, White, 1000 Shts/Box</t>
  </si>
  <si>
    <t>JM Magazine Binder</t>
  </si>
  <si>
    <t>Space Solutions™ Industrial Galvanized Steel Shelving.</t>
  </si>
  <si>
    <t>Xerox 1961</t>
  </si>
  <si>
    <t>Belkin 8 Outlet SurgeMaster II Gold Surge Protector with Phone Protection</t>
  </si>
  <si>
    <t>Imation 3.5", DISKETTE 44766 HGHLD3.52HD/FM, 10/Pack</t>
  </si>
  <si>
    <t>3M Organizer Strips</t>
  </si>
  <si>
    <t>Avery 48</t>
  </si>
  <si>
    <t>Office Star - Contemporary Task Swivel chair with 2-way adjustable arms, Plum</t>
  </si>
  <si>
    <t>i2000</t>
  </si>
  <si>
    <t>Logitech Cordless Keyboard</t>
  </si>
  <si>
    <t>1726 Digital Answering Machine</t>
  </si>
  <si>
    <t>Global Deluxe Office Fabric Chairs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</si>
  <si>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</si>
  <si>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</si>
  <si>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</si>
  <si>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</si>
  <si>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</si>
  <si>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Memorex 80 Minute CD-R Spindle, 100/Pack</t>
  </si>
  <si>
    <t>2180</t>
  </si>
  <si>
    <t>While You Were Out Pads, 50 per Pad, 4 x 5 1/4, Green Cycle</t>
  </si>
  <si>
    <t>DAX Wood Document Frame</t>
  </si>
  <si>
    <t>GE 48" Fluorescent Tube, Cool White Energy Saver, 34 Watts, 30/Box</t>
  </si>
  <si>
    <t>SANFORD Major Accent™ Highlighters</t>
  </si>
  <si>
    <t>Memorex 4.7GB DVD-RAM, 3/Pack</t>
  </si>
  <si>
    <t>Xerox 19</t>
  </si>
  <si>
    <t>Southworth 25% Cotton Premium Laser Paper and Envelopes</t>
  </si>
  <si>
    <t>Xerox 1934</t>
  </si>
  <si>
    <t>Bevis Round Conference Table Top, X-Base</t>
  </si>
  <si>
    <t>Fellowes Recycled Storage Drawers</t>
  </si>
  <si>
    <t>Tenex Carpeted, Granite-Look or Clear Contemporary Contour Shape Chair Mats</t>
  </si>
  <si>
    <t>Nu-Dell Executive Frame</t>
  </si>
  <si>
    <t>Discount</t>
  </si>
  <si>
    <t>Wilson Jones Hanging View Binder, White, 1"</t>
  </si>
  <si>
    <t>Accessory4</t>
  </si>
  <si>
    <t>Avery Hanging File Binders</t>
  </si>
  <si>
    <t>Bush Westfield Collection Bookcases, Fully Assembled</t>
  </si>
  <si>
    <t>Holmes Odor Grabber</t>
  </si>
  <si>
    <t>Global Push Button Manager's Chair, Indigo</t>
  </si>
  <si>
    <t>Sterilite Officeware Hinged File Box</t>
  </si>
  <si>
    <t>Canon PC-428 Personal Copier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</si>
  <si>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</si>
  <si>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</si>
  <si>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</si>
  <si>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</si>
  <si>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Eldon Shelf Savers™ Cubes and Bins</t>
  </si>
  <si>
    <t>Executive Impressions 14" Two-Color Numerals Wall Clock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</si>
  <si>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</si>
  <si>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</si>
  <si>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</si>
  <si>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Honeywell Enviracaire® Portable HEPA Air Cleaner for up to 10 x 16 Room</t>
  </si>
  <si>
    <t>Xerox 198</t>
  </si>
  <si>
    <t>LX 677</t>
  </si>
  <si>
    <t>Newell 338</t>
  </si>
  <si>
    <t>Eldon Expressions Punched Metal &amp; Wood Desk Accessories, Pewter &amp; Cherry</t>
  </si>
  <si>
    <t>*Staples* Letter Opener</t>
  </si>
  <si>
    <t>Sony MFD2HD Formatted Diskettes, 10/Pack</t>
  </si>
  <si>
    <t>Hon 4060 Series Tables</t>
  </si>
  <si>
    <t>Self-Adhesive Ring Binder Labels</t>
  </si>
  <si>
    <t>Bush Advantage Collection® Racetrack Conference Table</t>
  </si>
  <si>
    <t>T18</t>
  </si>
  <si>
    <t>Accessory34</t>
  </si>
  <si>
    <t>Dixon My First Ticonderoga Pencil, #2</t>
  </si>
  <si>
    <t>Canon MP25DIII Desktop Whisper-Quiet Printing Calculator</t>
  </si>
  <si>
    <t>#10- 4 1/8" x 9 1/2" Recycled Envelopes</t>
  </si>
  <si>
    <t>StarTAC 3000</t>
  </si>
  <si>
    <t>Staples® General Use 3-Ring Binders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</si>
  <si>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</si>
  <si>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</si>
  <si>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</si>
  <si>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</si>
  <si>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</si>
  <si>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Xerox 1899</t>
  </si>
  <si>
    <t>"While you Were Out" Message Book, One Form per Page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</si>
  <si>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</si>
  <si>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</si>
  <si>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</si>
  <si>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</si>
  <si>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</si>
  <si>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</si>
  <si>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Atlantic Metals Mobile 2-Shelf Bookcases, Custom Colors</t>
  </si>
  <si>
    <t>StarTAC ST7762</t>
  </si>
  <si>
    <t>Hon Olson Stacker Stools</t>
  </si>
  <si>
    <t>R280</t>
  </si>
  <si>
    <t>Deflect-o SuperTray™ Unbreakable Stackable Tray, Letter, Black</t>
  </si>
  <si>
    <t>Telescoping Adjustable Floor Lamp</t>
  </si>
  <si>
    <t>Avery® Durable Plastic 1" Binders</t>
  </si>
  <si>
    <t>Noel Staavos</t>
  </si>
  <si>
    <t>Bush Mission Pointe Library</t>
  </si>
  <si>
    <t>Acme® Box Cutter Scissors</t>
  </si>
  <si>
    <t>Hewlett-Packard 2600DN Business Color Inkjet Printer</t>
  </si>
  <si>
    <t>GBC Plastic Binding Combs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</si>
  <si>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</si>
  <si>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</si>
  <si>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</si>
  <si>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</si>
  <si>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</si>
  <si>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</si>
  <si>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</si>
  <si>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</si>
  <si>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</si>
  <si>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Ship Date</t>
  </si>
  <si>
    <t>Timeport L7089</t>
  </si>
  <si>
    <t>Canon MP100DHII Printing Calculator</t>
  </si>
  <si>
    <t>Xerox 1979</t>
  </si>
  <si>
    <t>Canon PC940 Copier</t>
  </si>
  <si>
    <t>Fellowes Mighty 8 Compact Surge Protector</t>
  </si>
  <si>
    <t>Brites Rubber Bands, 1 1/2 oz. Box</t>
  </si>
  <si>
    <t>Trimflex™ Flexible Post Binders</t>
  </si>
  <si>
    <t>Xerox 1939</t>
  </si>
  <si>
    <t>Hon Non-Folding Utility Tables</t>
  </si>
  <si>
    <t>Avery 491</t>
  </si>
  <si>
    <t>Xerox 1937</t>
  </si>
  <si>
    <t>Telephone Message Books with Fax/Mobile Section, 4 1/4" x 6"</t>
  </si>
  <si>
    <t>Newell® 3-Hole Punched Plastic Slotted Magazine Holders for Binders</t>
  </si>
  <si>
    <t>Ultra Door Pull Handle</t>
  </si>
  <si>
    <t>V70</t>
  </si>
  <si>
    <t>Avery Hi-Liter® Smear-Safe Highlighters</t>
  </si>
  <si>
    <t>Accessory13</t>
  </si>
  <si>
    <t>Fellowes Staxonsteel® Drawer Files</t>
  </si>
  <si>
    <t>Surelock™ Post Binders</t>
  </si>
  <si>
    <t>Fiskars 8" Scissors, 2/Pack</t>
  </si>
  <si>
    <t>Hot File® 7-Pocket, Floor Stand</t>
  </si>
  <si>
    <t>Important Message Pads, 50 4-1/4 x 5-1/2 Forms per Pad</t>
  </si>
  <si>
    <t>Newell 320</t>
  </si>
  <si>
    <t>Belkin ErgoBoard™ Keyboard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</si>
  <si>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</si>
  <si>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</si>
  <si>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</si>
  <si>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</si>
  <si>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</si>
  <si>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</si>
  <si>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</si>
  <si>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</si>
  <si>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</si>
  <si>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</si>
  <si>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DAX Solid Wood Frames</t>
  </si>
  <si>
    <t>Global Deluxe High-Back Office Chair in Storm</t>
  </si>
  <si>
    <t>O'Sullivan Elevations Bookcase, Cherry Finish</t>
  </si>
  <si>
    <t>Cardinal Slant-D® Ring Binder, Heavy Gauge Vinyl</t>
  </si>
  <si>
    <t>Avery Durable Binders</t>
  </si>
  <si>
    <t>Avery 4027 File Folder Labels for Dot Matrix Printers, 5000 Labels per Box, White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</si>
  <si>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</si>
  <si>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</si>
  <si>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</si>
  <si>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</si>
  <si>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</si>
  <si>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</si>
  <si>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</si>
  <si>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</si>
  <si>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</si>
  <si>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</si>
  <si>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</si>
  <si>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</si>
  <si>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</si>
  <si>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</si>
  <si>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</si>
  <si>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</si>
  <si>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</si>
  <si>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</si>
  <si>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</si>
  <si>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</si>
  <si>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</si>
  <si>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</si>
  <si>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</si>
  <si>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</si>
  <si>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</si>
  <si>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</si>
  <si>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</si>
  <si>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</si>
  <si>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</si>
  <si>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</si>
  <si>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</si>
  <si>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</si>
  <si>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</si>
  <si>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</si>
  <si>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</si>
  <si>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</si>
  <si>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Fellowes Twister Kit, Gray/Clear, 3/pkg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</si>
  <si>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</si>
  <si>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</si>
  <si>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</si>
  <si>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</si>
  <si>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</si>
  <si>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</si>
  <si>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</si>
  <si>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</si>
  <si>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8890</t>
  </si>
  <si>
    <t>TimeportP7382</t>
  </si>
  <si>
    <t>US Robotics 56K V.92 Internal PCI Faxmodem</t>
  </si>
  <si>
    <t>CF 688</t>
  </si>
  <si>
    <t>Xerox 1898</t>
  </si>
  <si>
    <t>Xerox 1928</t>
  </si>
  <si>
    <t>Accessory29</t>
  </si>
  <si>
    <t>Hewlett Packard 6S Scientific Calculator</t>
  </si>
  <si>
    <t>Xerox 23</t>
  </si>
  <si>
    <t>80 Minute Slim Jewel Case CD-R , 10/Pack - Staples</t>
  </si>
  <si>
    <t>Office Star - Professional Matrix Back Chair with 2-to-1 Synchro Tilt and Mesh Fabric Seat</t>
  </si>
  <si>
    <t>Durable Pressboard Binders</t>
  </si>
  <si>
    <t>Xerox 1897</t>
  </si>
  <si>
    <t>Okidata ML591 Wide Format Dot Matrix Printer</t>
  </si>
  <si>
    <t>Pressboard Data Binder, Crimson, 12" X 8 1/2"</t>
  </si>
  <si>
    <t>Avery Self-Adhesive Photo Pockets for Polaroid Photos</t>
  </si>
  <si>
    <t>Xerox 1920</t>
  </si>
  <si>
    <t>Speros Goranitis</t>
  </si>
  <si>
    <t>Okidata Pacemark 4410N Wide Format Dot Matrix Printer</t>
  </si>
  <si>
    <t>Bevis Round Bullnose 29" High Table Top</t>
  </si>
  <si>
    <t>7160</t>
  </si>
  <si>
    <t>Conquest™ 14 Commercial Heavy-Duty Upright Vacuum, Collection System, Accessory Kit</t>
  </si>
  <si>
    <t>Accessory35</t>
  </si>
  <si>
    <t>Panasonic KX-P1131 Dot Matrix Printer</t>
  </si>
  <si>
    <t>Dixon Ticonderoga Core-Lock Colored Pencils, 48-Color Set</t>
  </si>
  <si>
    <t>Standard Line™ “While You Were Out” Hardbound Telephone Message Book</t>
  </si>
  <si>
    <t>Bell Sonecor JB700 Caller ID</t>
  </si>
  <si>
    <t>Steel Personal Filing/Posting Tote</t>
  </si>
  <si>
    <t>Staples Gold Paper Clips</t>
  </si>
  <si>
    <t>Sue Ann Reed</t>
  </si>
  <si>
    <t>Tenex Traditional Chairmats for Medium Pile Carpet, Standard Lip, 36" x 48"</t>
  </si>
  <si>
    <t>Sanford 52201 APSCO Electric Pencil Sharpener</t>
  </si>
  <si>
    <t>Elizabeth Moffitt</t>
  </si>
  <si>
    <t>Snap-A-Way® Black Print Carbonless Ruled Speed Letter, Triplicate</t>
  </si>
  <si>
    <t>Holmes Replacement Filter for HEPA Air Cleaner, Medium Room</t>
  </si>
  <si>
    <t>2190</t>
  </si>
  <si>
    <t>Belkin 107-key enhanced keyboard, USB/PS/2 interface</t>
  </si>
  <si>
    <t>Logitech Cordless Access Keyboard</t>
  </si>
  <si>
    <t>Decoflex Hanging Personal Folder File, Blue</t>
  </si>
  <si>
    <t>Polycom ViewStation™ Adapter H323 Videoconferencing Unit</t>
  </si>
  <si>
    <t>Xerox 1933</t>
  </si>
  <si>
    <t>Acco 3-Hole Punch</t>
  </si>
  <si>
    <t>Park Ridge™ Embossed Executive Business Envelopes</t>
  </si>
  <si>
    <t>600 Series Flip</t>
  </si>
  <si>
    <t>Lifetime Advantage™ Folding Chairs, 4/Carton</t>
  </si>
  <si>
    <t>Honeywell Enviracaire® Portable Air Cleaner for up to 8 x 10 Room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</si>
  <si>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</si>
  <si>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</si>
  <si>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</si>
  <si>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</si>
  <si>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</si>
  <si>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</si>
  <si>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Coloredge Poster Frame</t>
  </si>
  <si>
    <t>Tennsco Snap-Together Open Shelving Units, Starter Sets and Add-On Units</t>
  </si>
  <si>
    <t>Assorted Color Push Pins</t>
  </si>
  <si>
    <t>Prang Colored Pencils</t>
  </si>
  <si>
    <t>Adams Telephone Message Books, 5 1/4” x 11”</t>
  </si>
  <si>
    <t>Belkin 6 Outlet Metallic Surge Strip</t>
  </si>
  <si>
    <t>Belkin 105-Key Black Keyboard</t>
  </si>
  <si>
    <t>Xerox 1936</t>
  </si>
  <si>
    <t>Acme® Preferred Stainless Steel Scissors</t>
  </si>
  <si>
    <t>Staples Wirebound Steno Books, 6" x 9", 12/Pack</t>
  </si>
  <si>
    <t>Bush Westfield Collection Bookcases, Dark Cherry Finish, Fully Assembled</t>
  </si>
  <si>
    <t>Tensor "Hersey Kiss" Styled Floor Lamp</t>
  </si>
  <si>
    <t>Advantus 10-Drawer Portable Organizer, Chrome Metal Frame, Smoke Drawers</t>
  </si>
  <si>
    <t>Multi-Use Personal File Cart and Caster Set, Three Stacking Bins</t>
  </si>
  <si>
    <t>Executive Impressions 12" Wall Clock</t>
  </si>
  <si>
    <t>GBC DocuBind P100 Manual Binding Machine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</si>
  <si>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</si>
  <si>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</si>
  <si>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</si>
  <si>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</si>
  <si>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</si>
  <si>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</si>
  <si>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</si>
  <si>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</si>
  <si>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</si>
  <si>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</si>
  <si>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</si>
  <si>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</si>
  <si>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T60</t>
  </si>
  <si>
    <t>Universal Premium White Copier/Laser Paper (20Lb. and 87 Bright)</t>
  </si>
  <si>
    <t>Xerox 194</t>
  </si>
  <si>
    <t>Accessory8</t>
  </si>
  <si>
    <t>T39m</t>
  </si>
  <si>
    <t>Heavy-Duty E-Z-D® Binders</t>
  </si>
  <si>
    <t>Quartet Omega® Colored Chalk, 12/Pack</t>
  </si>
  <si>
    <t>Office Star Flex Back Scooter Chair with Aluminum Finish Frame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</si>
  <si>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</si>
  <si>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</si>
  <si>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</si>
  <si>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</si>
  <si>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Xerox 210</t>
  </si>
  <si>
    <t>Xerox 191</t>
  </si>
  <si>
    <t>Acco PRESSTEX® Data Binder with Storage Hooks, Dark Blue, 9 1/2" X 11"</t>
  </si>
  <si>
    <t>Eldon Wave Desk Accessories</t>
  </si>
  <si>
    <t>Hewlett-Packard 4.7GB DVD+R Discs</t>
  </si>
  <si>
    <t>UniKeep™ View Case Binders</t>
  </si>
  <si>
    <t>Xerox 1993</t>
  </si>
  <si>
    <t>Smead Adjustable Mobile File Trolley with Lockable Top</t>
  </si>
  <si>
    <t>Xerox 1950</t>
  </si>
  <si>
    <t>Newell 343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</si>
  <si>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</si>
  <si>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</si>
  <si>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</si>
  <si>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</si>
  <si>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</si>
  <si>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</si>
  <si>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</si>
  <si>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</si>
  <si>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</si>
  <si>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Master Big Foot® Doorstop, Beige</t>
  </si>
  <si>
    <t>Accessory31</t>
  </si>
  <si>
    <t>Bevis Round Conference Table Top &amp; Single Column Base</t>
  </si>
  <si>
    <t>Desktop 3-Pocket Hot File®</t>
  </si>
  <si>
    <t>Avery 49</t>
  </si>
  <si>
    <t>Lesro Sheffield Collection Coffee Table, End Table, Center Table, Corner Table</t>
  </si>
  <si>
    <t>Howard Miller 13" Diameter Goldtone Round Wall Clock</t>
  </si>
  <si>
    <t>Xerox 1894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</si>
  <si>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</si>
  <si>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</si>
  <si>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</si>
  <si>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</si>
  <si>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Staples Battery-Operated Desktop Pencil Sharpener</t>
  </si>
  <si>
    <t>Carina Double Wide Media Storage Towers in Natural &amp; Black</t>
  </si>
  <si>
    <t>Boston 16801 Nautilus™ Battery Pencil Sharpener</t>
  </si>
  <si>
    <t>GBC White Gloss Covers, Plain Front</t>
  </si>
  <si>
    <t>Newell 323</t>
  </si>
  <si>
    <t>Master Giant Foot® Doorstop, Safety Yellow</t>
  </si>
  <si>
    <t>SAFCO PlanMaster Heigh-Adjustable Drafting Table Base, 43w x 30d x 30-37h, Black</t>
  </si>
  <si>
    <t>Carina Mini System Audio Rack, Model AR050B</t>
  </si>
  <si>
    <t>Global Troy™ Executive Leather Low-Back Tilter</t>
  </si>
  <si>
    <t>Speediset Carbonless Redi-Letter® 7" x 8 1/2"</t>
  </si>
  <si>
    <t>Xerox 1930</t>
  </si>
  <si>
    <t>Avery 487</t>
  </si>
  <si>
    <t>Electrix Halogen Magnifier Lamp</t>
  </si>
  <si>
    <t>Blue String-Tie &amp; Button Interoffice Envelopes, 10 x 13</t>
  </si>
  <si>
    <t>2300 Heavy-Duty Transfer File Systems by Perma</t>
  </si>
  <si>
    <t>Imation Primaris 3.5" 2HD Unformatted Diskettes, 10/Pack</t>
  </si>
  <si>
    <t>Plymouth Boxed Rubber Bands by Plymouth</t>
  </si>
  <si>
    <t>Deflect-o EconoMat Nonstudded, No Bevel Mat</t>
  </si>
  <si>
    <t>IBM 80 Minute CD-R Spindle, 50/Pack</t>
  </si>
  <si>
    <t>Fellowes Premier Superior Surge Suppressor, 10-Outlet, With Phone and Remote</t>
  </si>
  <si>
    <t>Vinyl Sectional Post Binders</t>
  </si>
  <si>
    <t>Deflect-O® Glasstique™ Clear Desk Accessories</t>
  </si>
  <si>
    <t>Nu-Dell Leatherette Frames</t>
  </si>
  <si>
    <t>Avery Printable Repositionable Plastic Tabs</t>
  </si>
  <si>
    <t>Profit</t>
  </si>
  <si>
    <t>Sales</t>
  </si>
  <si>
    <t>Shipping Cost</t>
  </si>
  <si>
    <t>Elite 5" Scissors</t>
  </si>
  <si>
    <t>G.E. Longer-Life Indoor Recessed Floodlight Bulbs</t>
  </si>
  <si>
    <t>GBC Therma-A-Bind 250T Electric Binding System</t>
  </si>
  <si>
    <t>VTech VT20-2481 2.4GHz Two-Line Phone System w/Answering Machine</t>
  </si>
  <si>
    <t>iDEN i550</t>
  </si>
  <si>
    <t>TIMEPORT P8767</t>
  </si>
  <si>
    <t>Ibico EB-19 Dual Function Manual Binding System</t>
  </si>
  <si>
    <t>Ibico Presentation Index for Binding Systems</t>
  </si>
  <si>
    <t>Wilson Jones Suede Grain Vinyl Binders</t>
  </si>
  <si>
    <t>Ken Dana</t>
  </si>
  <si>
    <t>Julia Barnett</t>
  </si>
  <si>
    <t>Dave Poirier</t>
  </si>
  <si>
    <t>Alejandro Savely</t>
  </si>
  <si>
    <t>Patrick Bzostek</t>
  </si>
  <si>
    <t>Lauren Leatherbury</t>
  </si>
  <si>
    <t>Ivan Liston</t>
  </si>
  <si>
    <t>Grant Thornton</t>
  </si>
  <si>
    <t>Brian Stugart</t>
  </si>
  <si>
    <t>Sanjit Jacobs</t>
  </si>
  <si>
    <t>Maris LaWare</t>
  </si>
  <si>
    <t>Christy Brittain</t>
  </si>
  <si>
    <t>Peter Buhler</t>
  </si>
  <si>
    <t>Ken Lonsdale</t>
  </si>
  <si>
    <t>Darren Koutras</t>
  </si>
  <si>
    <t>Damala Kotsonis</t>
  </si>
  <si>
    <t>Chris McAfee</t>
  </si>
  <si>
    <t>Charles Crestani</t>
  </si>
  <si>
    <t>Anne McFarland</t>
  </si>
  <si>
    <t>Allen Armold</t>
  </si>
  <si>
    <t>Raymond Fair</t>
  </si>
  <si>
    <t>Pete Kriz</t>
  </si>
  <si>
    <t>Pauline Webber</t>
  </si>
  <si>
    <t>Max Engle</t>
  </si>
  <si>
    <t>Lisa Ryan</t>
  </si>
  <si>
    <t>Eugene Moren</t>
  </si>
  <si>
    <t>Dave Kipp</t>
  </si>
  <si>
    <t>Cynthia Voltz</t>
  </si>
  <si>
    <t>Christopher Martinez</t>
  </si>
  <si>
    <t>Chris Cortes</t>
  </si>
  <si>
    <t>Bobby Elias</t>
  </si>
  <si>
    <t>Robert Barroso</t>
  </si>
  <si>
    <t>Natalie Webber</t>
  </si>
  <si>
    <t>Mike Pelletier</t>
  </si>
  <si>
    <t>Joni Wasserman</t>
  </si>
  <si>
    <t>Evan Henry</t>
  </si>
  <si>
    <t>Carl Weiss</t>
  </si>
  <si>
    <t>Andrew Allen</t>
  </si>
  <si>
    <t>Tim Brockman</t>
  </si>
  <si>
    <t>Roger Barcio</t>
  </si>
  <si>
    <t>Helen Wasserman</t>
  </si>
  <si>
    <t>Harold Dahlen</t>
  </si>
  <si>
    <t>Corey Roper</t>
  </si>
  <si>
    <t>Bryan Spruell</t>
  </si>
  <si>
    <t>Anthony Rawles</t>
  </si>
  <si>
    <t>Yana Sorensen</t>
  </si>
  <si>
    <t>Nicole Brennan</t>
  </si>
  <si>
    <t>Juliana Krohn</t>
  </si>
  <si>
    <t>Ed Braxton</t>
  </si>
  <si>
    <t>Denny Ordway</t>
  </si>
  <si>
    <t>David Kendrick</t>
  </si>
  <si>
    <t>Chuck Clark</t>
  </si>
  <si>
    <t>Benjamin Venier</t>
  </si>
  <si>
    <t>Mick Brown</t>
  </si>
  <si>
    <t>Doug O'Connell</t>
  </si>
  <si>
    <t>Paul Van Hugh</t>
  </si>
  <si>
    <t>Mark Haberlin</t>
  </si>
  <si>
    <t>Julia Dunbar</t>
  </si>
  <si>
    <t>Duane Noonan</t>
  </si>
  <si>
    <t>Cyra Reiten</t>
  </si>
  <si>
    <t>Brendan Murry</t>
  </si>
  <si>
    <t>Bill Tyler</t>
  </si>
  <si>
    <t>Aleksandra Gannaway</t>
  </si>
  <si>
    <t>Tom Prescott</t>
  </si>
  <si>
    <t>Tamara Manning</t>
  </si>
  <si>
    <t>Bradley Drucker</t>
  </si>
  <si>
    <t>Bobby Trafton</t>
  </si>
  <si>
    <t>Tamara Willingham</t>
  </si>
  <si>
    <t>Scott Cohen</t>
  </si>
  <si>
    <t>Michael Stewart</t>
  </si>
  <si>
    <t>Giulietta Dortch</t>
  </si>
  <si>
    <t>Dean Katz</t>
  </si>
  <si>
    <t>Corey Lock</t>
  </si>
  <si>
    <t>Corey Catlett</t>
  </si>
  <si>
    <t>Sara Luxemburg</t>
  </si>
  <si>
    <t>Ricardo Block</t>
  </si>
  <si>
    <t>Penelope Sewall</t>
  </si>
  <si>
    <t>Lindsay Castell</t>
  </si>
  <si>
    <t>Irene Maddox</t>
  </si>
  <si>
    <t>Brad Thomas</t>
  </si>
  <si>
    <t>Tracy Hopkins</t>
  </si>
  <si>
    <t>Shaun Chance</t>
  </si>
  <si>
    <t>Rick Huthwaite</t>
  </si>
  <si>
    <t>Karen Carlisle</t>
  </si>
  <si>
    <t>Jill Fjeld</t>
  </si>
  <si>
    <t>Fred Harton</t>
  </si>
  <si>
    <t>Cathy Armstrong</t>
  </si>
  <si>
    <t>Berenike Kampe</t>
  </si>
  <si>
    <t>Anthony O'Donnell</t>
  </si>
  <si>
    <t>Victoria Pisteka</t>
  </si>
  <si>
    <t>Thea Hendricks</t>
  </si>
  <si>
    <t>Paul Lucas</t>
  </si>
  <si>
    <t>Katherine Ducich</t>
  </si>
  <si>
    <t>Dan Campbell</t>
  </si>
  <si>
    <t>Cynthia Delaney</t>
  </si>
  <si>
    <t>Barry Pond</t>
  </si>
  <si>
    <t>Adam Bellavance</t>
  </si>
  <si>
    <t>Rob Lucas</t>
  </si>
  <si>
    <t>Keith Herrera</t>
  </si>
  <si>
    <t>Barry Weirich</t>
  </si>
  <si>
    <t>Barry Blumstein</t>
  </si>
  <si>
    <t>Aaron Hawkins</t>
  </si>
  <si>
    <t>Tom Ashbrook</t>
  </si>
  <si>
    <t>Nora Paige</t>
  </si>
  <si>
    <t>Mark Packer</t>
  </si>
  <si>
    <t>Janet Martin</t>
  </si>
  <si>
    <t>Emily Burns</t>
  </si>
  <si>
    <t>Art Miller</t>
  </si>
  <si>
    <t>Alyssa Tate</t>
  </si>
  <si>
    <t>Adam Hart</t>
  </si>
  <si>
    <t>Thomas Thornton</t>
  </si>
  <si>
    <t>Roland Murray</t>
  </si>
  <si>
    <t>Maribeth Dona</t>
  </si>
  <si>
    <t>Laurel Workman</t>
  </si>
  <si>
    <t>Jeremy Pistek</t>
  </si>
  <si>
    <t>Eric Barreto</t>
  </si>
  <si>
    <t>Darrin Sayre</t>
  </si>
  <si>
    <t>Carol Darley</t>
  </si>
  <si>
    <t>Carlos Meador</t>
  </si>
  <si>
    <t>Astrea Jones</t>
  </si>
  <si>
    <t>Tony Molinari</t>
  </si>
  <si>
    <t>Sung Chung</t>
  </si>
  <si>
    <t>Maureen Gastineau</t>
  </si>
  <si>
    <t>John Murray</t>
  </si>
  <si>
    <t>Darren Powers</t>
  </si>
  <si>
    <t>Darren Budd</t>
  </si>
  <si>
    <t>Art Foster</t>
  </si>
  <si>
    <t>Anthony Garverick</t>
  </si>
  <si>
    <t>Tim Taslimi</t>
  </si>
  <si>
    <t>Sung Pak</t>
  </si>
  <si>
    <t>Roger Demir</t>
  </si>
  <si>
    <t>Luke Foster</t>
  </si>
  <si>
    <t>Ed Jacobs</t>
  </si>
  <si>
    <t>Deborah Brumfield</t>
  </si>
  <si>
    <t>Shirley Jackson</t>
  </si>
  <si>
    <t>Resi Polking</t>
  </si>
  <si>
    <t>Jill Matthias</t>
  </si>
  <si>
    <t>Helen Andreada</t>
  </si>
  <si>
    <t>George Zrebassa</t>
  </si>
  <si>
    <t>Roland Fjeld</t>
  </si>
  <si>
    <t>Muhammed Lee</t>
  </si>
  <si>
    <t>Jay Fine</t>
  </si>
  <si>
    <t>Greg Matthias</t>
  </si>
  <si>
    <t>Eric Murdock</t>
  </si>
  <si>
    <t>Bart Folk</t>
  </si>
  <si>
    <t>Kean Thornton</t>
  </si>
  <si>
    <t>Emily Phan</t>
  </si>
  <si>
    <t>David Bremer</t>
  </si>
  <si>
    <t>Alan Schoenberger</t>
  </si>
  <si>
    <t>Bill Shonely</t>
  </si>
  <si>
    <t>Customer Name</t>
  </si>
  <si>
    <t>Amy Cox</t>
  </si>
  <si>
    <t>Eva Jacobs</t>
  </si>
  <si>
    <t>Karl Brown</t>
  </si>
  <si>
    <t>High</t>
  </si>
  <si>
    <t>Medium</t>
  </si>
  <si>
    <t>Not Specified</t>
  </si>
  <si>
    <t>Low</t>
  </si>
  <si>
    <t>Critical</t>
  </si>
  <si>
    <t>Province</t>
  </si>
  <si>
    <t>British Columbia</t>
  </si>
  <si>
    <t>Alberta</t>
  </si>
  <si>
    <t>Yukon</t>
  </si>
  <si>
    <t>Teenager</t>
  </si>
  <si>
    <t>James Leeland</t>
  </si>
  <si>
    <t>(blank)</t>
  </si>
  <si>
    <t>Grand Total</t>
  </si>
  <si>
    <t>(blank) Total</t>
  </si>
  <si>
    <t>Count of Sales</t>
  </si>
  <si>
    <t>Total</t>
  </si>
  <si>
    <t>West Total</t>
  </si>
  <si>
    <t>Yukon Total</t>
  </si>
  <si>
    <t>Furniture Total</t>
  </si>
  <si>
    <t>Office Supplies Total</t>
  </si>
  <si>
    <t>Technology Total</t>
  </si>
  <si>
    <t>Consumer Total</t>
  </si>
  <si>
    <t>Corporate Total</t>
  </si>
  <si>
    <t>Home Office Total</t>
  </si>
  <si>
    <t>Small Business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</si>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</sst>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64" fontId="0" fillId="0" borderId="0" xfId="1" applyNumberFormat="1" applyFont="1" applyFill="1"/>
    <xf numFmtId="2" fontId="2" fillId="0" borderId="0" xfId="0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9" fontId="0" fillId="0" borderId="5" xfId="0" applyNumberFormat="1" applyBorder="1"/>
    <xf numFmtId="9" fontId="0" fillId="0" borderId="2" xfId="0" applyNumberFormat="1" applyBorder="1"/>
    <xf numFmtId="0" fontId="0" fillId="0" borderId="10" xfId="0" pivotButton="1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1"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1.xml" /><Relationship Id="rId12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Dashboard.xlsx]sales on discount!PivotTable1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With Discount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on discount'!$B$3:$B$4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on discount'!$A$5:$A$16</c:f>
              <c:strCach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strCache>
            </c:strRef>
          </c:cat>
          <c:val>
            <c:numRef>
              <c:f>'sales on discount'!$B$5:$B$16</c:f>
              <c:numCache>
                <c:formatCode>General</c:formatCode>
                <c:ptCount val="11"/>
                <c:pt idx="0">
                  <c:v>94</c:v>
                </c:pt>
                <c:pt idx="1">
                  <c:v>117</c:v>
                </c:pt>
                <c:pt idx="2">
                  <c:v>103</c:v>
                </c:pt>
                <c:pt idx="3">
                  <c:v>94</c:v>
                </c:pt>
                <c:pt idx="4">
                  <c:v>83</c:v>
                </c:pt>
                <c:pt idx="5">
                  <c:v>110</c:v>
                </c:pt>
                <c:pt idx="6">
                  <c:v>110</c:v>
                </c:pt>
                <c:pt idx="7">
                  <c:v>91</c:v>
                </c:pt>
                <c:pt idx="8">
                  <c:v>103</c:v>
                </c:pt>
                <c:pt idx="9">
                  <c:v>107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3-734C-AC66-5ACC55B104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851072"/>
        <c:axId val="116852608"/>
      </c:lineChart>
      <c:catAx>
        <c:axId val="1168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6852608"/>
        <c:crosses val="autoZero"/>
        <c:auto val="0"/>
        <c:lblAlgn val="ctr"/>
        <c:lblOffset val="100"/>
        <c:noMultiLvlLbl val="0"/>
      </c:catAx>
      <c:valAx>
        <c:axId val="1168526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851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Dashboard.xlsx]Sales in region and province!PivotTable2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Region And Province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 region and province'!$C$3:$C$4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'Sales in region and province'!$A$5:$B$10</c:f>
              <c:multiLvlStrCache>
                <c:ptCount val="3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Yukon</c:v>
                  </c:pt>
                </c:lvl>
                <c:lvl>
                  <c:pt idx="0">
                    <c:v>West</c:v>
                  </c:pt>
                  <c:pt idx="2">
                    <c:v>Yukon</c:v>
                  </c:pt>
                </c:lvl>
              </c:multiLvlStrCache>
            </c:multiLvlStrRef>
          </c:cat>
          <c:val>
            <c:numRef>
              <c:f>'Sales in region and province'!$C$5:$C$10</c:f>
              <c:numCache>
                <c:formatCode>General</c:formatCode>
                <c:ptCount val="3"/>
                <c:pt idx="0">
                  <c:v>175</c:v>
                </c:pt>
                <c:pt idx="1">
                  <c:v>536</c:v>
                </c:pt>
                <c:pt idx="2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9A44-8A4C-99EE04FA7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07296"/>
        <c:axId val="116421376"/>
      </c:barChart>
      <c:catAx>
        <c:axId val="11640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421376"/>
        <c:crosses val="autoZero"/>
        <c:auto val="0"/>
        <c:lblAlgn val="ctr"/>
        <c:lblOffset val="100"/>
        <c:noMultiLvlLbl val="0"/>
      </c:catAx>
      <c:valAx>
        <c:axId val="11642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407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Sales Dashboard.xlsx]Sales Of Product 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Of Product Category and Sub-category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'Sales Of Product 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5"/>
            <c:bubble3D val="0"/>
            <c:explosion val="1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'Sales Of Product '!$A$5:$B$36</c:f>
              <c:multiLvlStrCache>
                <c:ptCount val="2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  <c:pt idx="17">
                    <c:v>Appliances</c:v>
                  </c:pt>
                  <c:pt idx="18">
                    <c:v>Binders and Binder Accessories</c:v>
                  </c:pt>
                  <c:pt idx="19">
                    <c:v>Chairs &amp; Chairmats</c:v>
                  </c:pt>
                  <c:pt idx="20">
                    <c:v>Computer Peripherals</c:v>
                  </c:pt>
                  <c:pt idx="21">
                    <c:v>Envelopes</c:v>
                  </c:pt>
                  <c:pt idx="22">
                    <c:v>Office Machines</c:v>
                  </c:pt>
                  <c:pt idx="23">
                    <c:v>Paper</c:v>
                  </c:pt>
                  <c:pt idx="24">
                    <c:v>Pens &amp; Art Supplies</c:v>
                  </c:pt>
                  <c:pt idx="25">
                    <c:v>Scissors, Rulers and Trimmers</c:v>
                  </c:pt>
                  <c:pt idx="26">
                    <c:v>Storage &amp; Organization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'Sales Of Product '!$C$5:$C$36</c:f>
              <c:numCache>
                <c:formatCode>General</c:formatCode>
                <c:ptCount val="27"/>
                <c:pt idx="0">
                  <c:v>31</c:v>
                </c:pt>
                <c:pt idx="1">
                  <c:v>41</c:v>
                </c:pt>
                <c:pt idx="2">
                  <c:v>98</c:v>
                </c:pt>
                <c:pt idx="3">
                  <c:v>53</c:v>
                </c:pt>
                <c:pt idx="4">
                  <c:v>63</c:v>
                </c:pt>
                <c:pt idx="5">
                  <c:v>123</c:v>
                </c:pt>
                <c:pt idx="6">
                  <c:v>34</c:v>
                </c:pt>
                <c:pt idx="7">
                  <c:v>29</c:v>
                </c:pt>
                <c:pt idx="8">
                  <c:v>146</c:v>
                </c:pt>
                <c:pt idx="9">
                  <c:v>88</c:v>
                </c:pt>
                <c:pt idx="10">
                  <c:v>26</c:v>
                </c:pt>
                <c:pt idx="11">
                  <c:v>20</c:v>
                </c:pt>
                <c:pt idx="12">
                  <c:v>70</c:v>
                </c:pt>
                <c:pt idx="13">
                  <c:v>93</c:v>
                </c:pt>
                <c:pt idx="14">
                  <c:v>11</c:v>
                </c:pt>
                <c:pt idx="15">
                  <c:v>50</c:v>
                </c:pt>
                <c:pt idx="16">
                  <c:v>111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C-C643-8DC2-AC52565894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Dashboard.xlsx]Total Sales In Customer segment!PivotTable4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Customer Segment  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'Total Sales In Customer segment'!$C$3:$C$4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'Total Sales In Customer segment'!$A$5:$B$17</c:f>
              <c:multiLvlStrCache>
                <c:ptCount val="8"/>
                <c:lvl>
                  <c:pt idx="0">
                    <c:v>West</c:v>
                  </c:pt>
                  <c:pt idx="1">
                    <c:v>Yukon</c:v>
                  </c:pt>
                  <c:pt idx="2">
                    <c:v>West</c:v>
                  </c:pt>
                  <c:pt idx="3">
                    <c:v>Yukon</c:v>
                  </c:pt>
                  <c:pt idx="4">
                    <c:v>West</c:v>
                  </c:pt>
                  <c:pt idx="5">
                    <c:v>Yukon</c:v>
                  </c:pt>
                  <c:pt idx="6">
                    <c:v>West</c:v>
                  </c:pt>
                  <c:pt idx="7">
                    <c:v>Yukon</c:v>
                  </c:pt>
                </c:lvl>
                <c:lvl>
                  <c:pt idx="0">
                    <c:v>Consumer</c:v>
                  </c:pt>
                  <c:pt idx="2">
                    <c:v>Corporate</c:v>
                  </c:pt>
                  <c:pt idx="4">
                    <c:v>Home Office</c:v>
                  </c:pt>
                  <c:pt idx="6">
                    <c:v>Small Business</c:v>
                  </c:pt>
                </c:lvl>
              </c:multiLvlStrCache>
            </c:multiLvlStrRef>
          </c:cat>
          <c:val>
            <c:numRef>
              <c:f>'Total Sales In Customer segment'!$C$5:$C$17</c:f>
              <c:numCache>
                <c:formatCode>General</c:formatCode>
                <c:ptCount val="8"/>
                <c:pt idx="0">
                  <c:v>135</c:v>
                </c:pt>
                <c:pt idx="1">
                  <c:v>80</c:v>
                </c:pt>
                <c:pt idx="2">
                  <c:v>224</c:v>
                </c:pt>
                <c:pt idx="3">
                  <c:v>168</c:v>
                </c:pt>
                <c:pt idx="4">
                  <c:v>184</c:v>
                </c:pt>
                <c:pt idx="5">
                  <c:v>76</c:v>
                </c:pt>
                <c:pt idx="6">
                  <c:v>168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7-F149-B171-DF81F002F1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[Excel Sales Dashboard.xlsx]sales on discount!PivotTable1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With Discount</a:t>
            </a:r>
          </a:p>
        </c:rich>
      </c:tx>
      <c:overlay val="0"/>
    </c:title>
    <c:autoTitleDeleted val="0"/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on discount'!$B$3:$B$4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on discount'!$A$5:$A$16</c:f>
              <c:strCach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strCache>
            </c:strRef>
          </c:cat>
          <c:val>
            <c:numRef>
              <c:f>'sales on discount'!$B$5:$B$16</c:f>
              <c:numCache>
                <c:formatCode>General</c:formatCode>
                <c:ptCount val="11"/>
                <c:pt idx="0">
                  <c:v>94</c:v>
                </c:pt>
                <c:pt idx="1">
                  <c:v>117</c:v>
                </c:pt>
                <c:pt idx="2">
                  <c:v>103</c:v>
                </c:pt>
                <c:pt idx="3">
                  <c:v>94</c:v>
                </c:pt>
                <c:pt idx="4">
                  <c:v>83</c:v>
                </c:pt>
                <c:pt idx="5">
                  <c:v>110</c:v>
                </c:pt>
                <c:pt idx="6">
                  <c:v>110</c:v>
                </c:pt>
                <c:pt idx="7">
                  <c:v>91</c:v>
                </c:pt>
                <c:pt idx="8">
                  <c:v>103</c:v>
                </c:pt>
                <c:pt idx="9">
                  <c:v>107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C-A646-93D7-ECE4E1E1FD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084736"/>
        <c:axId val="116086272"/>
      </c:lineChart>
      <c:catAx>
        <c:axId val="11608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6086272"/>
        <c:crosses val="autoZero"/>
        <c:auto val="0"/>
        <c:lblAlgn val="ctr"/>
        <c:lblOffset val="100"/>
        <c:noMultiLvlLbl val="0"/>
      </c:catAx>
      <c:valAx>
        <c:axId val="116086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084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pivotSource>
    <c:name>[Excel Sales Dashboard.xlsx]Sales in region and province!PivotTable2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Region And Province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 region and province'!$C$3:$C$4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'Sales in region and province'!$A$5:$B$10</c:f>
              <c:multiLvlStrCache>
                <c:ptCount val="3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Yukon</c:v>
                  </c:pt>
                </c:lvl>
                <c:lvl>
                  <c:pt idx="0">
                    <c:v>West</c:v>
                  </c:pt>
                  <c:pt idx="2">
                    <c:v>Yukon</c:v>
                  </c:pt>
                </c:lvl>
              </c:multiLvlStrCache>
            </c:multiLvlStrRef>
          </c:cat>
          <c:val>
            <c:numRef>
              <c:f>'Sales in region and province'!$C$5:$C$10</c:f>
              <c:numCache>
                <c:formatCode>General</c:formatCode>
                <c:ptCount val="3"/>
                <c:pt idx="0">
                  <c:v>175</c:v>
                </c:pt>
                <c:pt idx="1">
                  <c:v>536</c:v>
                </c:pt>
                <c:pt idx="2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6-1045-9FB8-EB6DC67A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21984"/>
        <c:axId val="116123520"/>
      </c:barChart>
      <c:catAx>
        <c:axId val="11612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23520"/>
        <c:crosses val="autoZero"/>
        <c:auto val="0"/>
        <c:lblAlgn val="ctr"/>
        <c:lblOffset val="100"/>
        <c:noMultiLvlLbl val="0"/>
      </c:catAx>
      <c:valAx>
        <c:axId val="1161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121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pivotSource>
    <c:name>[Excel Sales Dashboard.xlsx]Sales Of Product 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Of Product Category and Sub-category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'Sales Of Product 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5"/>
            <c:bubble3D val="0"/>
            <c:explosion val="1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'Sales Of Product '!$A$5:$B$36</c:f>
              <c:multiLvlStrCache>
                <c:ptCount val="2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  <c:pt idx="17">
                    <c:v>Appliances</c:v>
                  </c:pt>
                  <c:pt idx="18">
                    <c:v>Binders and Binder Accessories</c:v>
                  </c:pt>
                  <c:pt idx="19">
                    <c:v>Chairs &amp; Chairmats</c:v>
                  </c:pt>
                  <c:pt idx="20">
                    <c:v>Computer Peripherals</c:v>
                  </c:pt>
                  <c:pt idx="21">
                    <c:v>Envelopes</c:v>
                  </c:pt>
                  <c:pt idx="22">
                    <c:v>Office Machines</c:v>
                  </c:pt>
                  <c:pt idx="23">
                    <c:v>Paper</c:v>
                  </c:pt>
                  <c:pt idx="24">
                    <c:v>Pens &amp; Art Supplies</c:v>
                  </c:pt>
                  <c:pt idx="25">
                    <c:v>Scissors, Rulers and Trimmers</c:v>
                  </c:pt>
                  <c:pt idx="26">
                    <c:v>Storage &amp; Organization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'Sales Of Product '!$C$5:$C$36</c:f>
              <c:numCache>
                <c:formatCode>General</c:formatCode>
                <c:ptCount val="27"/>
                <c:pt idx="0">
                  <c:v>31</c:v>
                </c:pt>
                <c:pt idx="1">
                  <c:v>41</c:v>
                </c:pt>
                <c:pt idx="2">
                  <c:v>98</c:v>
                </c:pt>
                <c:pt idx="3">
                  <c:v>53</c:v>
                </c:pt>
                <c:pt idx="4">
                  <c:v>63</c:v>
                </c:pt>
                <c:pt idx="5">
                  <c:v>123</c:v>
                </c:pt>
                <c:pt idx="6">
                  <c:v>34</c:v>
                </c:pt>
                <c:pt idx="7">
                  <c:v>29</c:v>
                </c:pt>
                <c:pt idx="8">
                  <c:v>146</c:v>
                </c:pt>
                <c:pt idx="9">
                  <c:v>88</c:v>
                </c:pt>
                <c:pt idx="10">
                  <c:v>26</c:v>
                </c:pt>
                <c:pt idx="11">
                  <c:v>20</c:v>
                </c:pt>
                <c:pt idx="12">
                  <c:v>70</c:v>
                </c:pt>
                <c:pt idx="13">
                  <c:v>93</c:v>
                </c:pt>
                <c:pt idx="14">
                  <c:v>11</c:v>
                </c:pt>
                <c:pt idx="15">
                  <c:v>50</c:v>
                </c:pt>
                <c:pt idx="16">
                  <c:v>111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6-8C4F-8B6C-84CCBC6300F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pivotSource>
    <c:name>[Excel Sales Dashboard.xlsx]Total Sales In Customer segment!PivotTable4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Customer Segment  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</c:pivotFmts>
    <c:plotArea>
      <c:layout/>
      <c:doughnutChart>
        <c:varyColors val="1"/>
        <c:ser>
          <c:idx val="0"/>
          <c:order val="0"/>
          <c:tx>
            <c:strRef>
              <c:f>'Total Sales In Customer segment'!$C$3:$C$4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'Total Sales In Customer segment'!$A$5:$B$17</c:f>
              <c:multiLvlStrCache>
                <c:ptCount val="8"/>
                <c:lvl>
                  <c:pt idx="0">
                    <c:v>West</c:v>
                  </c:pt>
                  <c:pt idx="1">
                    <c:v>Yukon</c:v>
                  </c:pt>
                  <c:pt idx="2">
                    <c:v>West</c:v>
                  </c:pt>
                  <c:pt idx="3">
                    <c:v>Yukon</c:v>
                  </c:pt>
                  <c:pt idx="4">
                    <c:v>West</c:v>
                  </c:pt>
                  <c:pt idx="5">
                    <c:v>Yukon</c:v>
                  </c:pt>
                  <c:pt idx="6">
                    <c:v>West</c:v>
                  </c:pt>
                  <c:pt idx="7">
                    <c:v>Yukon</c:v>
                  </c:pt>
                </c:lvl>
                <c:lvl>
                  <c:pt idx="0">
                    <c:v>Consumer</c:v>
                  </c:pt>
                  <c:pt idx="2">
                    <c:v>Corporate</c:v>
                  </c:pt>
                  <c:pt idx="4">
                    <c:v>Home Office</c:v>
                  </c:pt>
                  <c:pt idx="6">
                    <c:v>Small Business</c:v>
                  </c:pt>
                </c:lvl>
              </c:multiLvlStrCache>
            </c:multiLvlStrRef>
          </c:cat>
          <c:val>
            <c:numRef>
              <c:f>'Total Sales In Customer segment'!$C$5:$C$17</c:f>
              <c:numCache>
                <c:formatCode>General</c:formatCode>
                <c:ptCount val="8"/>
                <c:pt idx="0">
                  <c:v>135</c:v>
                </c:pt>
                <c:pt idx="1">
                  <c:v>80</c:v>
                </c:pt>
                <c:pt idx="2">
                  <c:v>224</c:v>
                </c:pt>
                <c:pt idx="3">
                  <c:v>168</c:v>
                </c:pt>
                <c:pt idx="4">
                  <c:v>184</c:v>
                </c:pt>
                <c:pt idx="5">
                  <c:v>76</c:v>
                </c:pt>
                <c:pt idx="6">
                  <c:v>168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7-9447-958A-DBF8E862E9F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 /><Relationship Id="rId2" Type="http://schemas.openxmlformats.org/officeDocument/2006/relationships/chart" Target="../charts/chart6.xml" /><Relationship Id="rId1" Type="http://schemas.openxmlformats.org/officeDocument/2006/relationships/chart" Target="../charts/chart5.xml" /><Relationship Id="rId4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133350</xdr:rowOff>
    </xdr:from>
    <xdr:to>
      <xdr:col>12</xdr:col>
      <xdr:colOff>533400</xdr:colOff>
      <xdr:row>26</xdr:row>
      <xdr:rowOff>133350</xdr:rowOff>
    </xdr:to>
    <xdr:graphicFrame macro="">
      <xdr:nvGraphicFramePr>
        <xdr:cNvPr id="1039" name="Chart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152400</xdr:rowOff>
    </xdr:from>
    <xdr:to>
      <xdr:col>12</xdr:col>
      <xdr:colOff>561975</xdr:colOff>
      <xdr:row>19</xdr:row>
      <xdr:rowOff>28575</xdr:rowOff>
    </xdr:to>
    <xdr:graphicFrame macro="">
      <xdr:nvGraphicFramePr>
        <xdr:cNvPr id="4104" name="Chart 1">
          <a:extLst>
            <a:ext uri="{FF2B5EF4-FFF2-40B4-BE49-F238E27FC236}">
              <a16:creationId xmlns:a16="http://schemas.microsoft.com/office/drawing/2014/main" id="{00000000-0008-0000-0100-000008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</xdr:row>
      <xdr:rowOff>95250</xdr:rowOff>
    </xdr:from>
    <xdr:to>
      <xdr:col>12</xdr:col>
      <xdr:colOff>285750</xdr:colOff>
      <xdr:row>35</xdr:row>
      <xdr:rowOff>76200</xdr:rowOff>
    </xdr:to>
    <xdr:graphicFrame macro="">
      <xdr:nvGraphicFramePr>
        <xdr:cNvPr id="6152" name="Chart 1">
          <a:extLst>
            <a:ext uri="{FF2B5EF4-FFF2-40B4-BE49-F238E27FC236}">
              <a16:creationId xmlns:a16="http://schemas.microsoft.com/office/drawing/2014/main" id="{00000000-0008-0000-0200-000008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0</xdr:rowOff>
    </xdr:from>
    <xdr:to>
      <xdr:col>11</xdr:col>
      <xdr:colOff>295275</xdr:colOff>
      <xdr:row>18</xdr:row>
      <xdr:rowOff>152400</xdr:rowOff>
    </xdr:to>
    <xdr:graphicFrame macro="">
      <xdr:nvGraphicFramePr>
        <xdr:cNvPr id="8200" name="Chart 1">
          <a:extLst>
            <a:ext uri="{FF2B5EF4-FFF2-40B4-BE49-F238E27FC236}">
              <a16:creationId xmlns:a16="http://schemas.microsoft.com/office/drawing/2014/main" id="{00000000-0008-0000-0300-000008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530678</xdr:colOff>
      <xdr:row>7</xdr:row>
      <xdr:rowOff>68035</xdr:rowOff>
    </xdr:from>
    <xdr:to>
      <xdr:col>9</xdr:col>
      <xdr:colOff>517072</xdr:colOff>
      <xdr:row>31</xdr:row>
      <xdr:rowOff>149679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30678" y="1211035"/>
          <a:ext cx="5497287" cy="4000501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244929</xdr:colOff>
      <xdr:row>65</xdr:row>
      <xdr:rowOff>81643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13103679" cy="1069521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312964</xdr:colOff>
      <xdr:row>0</xdr:row>
      <xdr:rowOff>122463</xdr:rowOff>
    </xdr:from>
    <xdr:to>
      <xdr:col>15</xdr:col>
      <xdr:colOff>421821</xdr:colOff>
      <xdr:row>4</xdr:row>
      <xdr:rowOff>95249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986893" y="122463"/>
          <a:ext cx="5619749" cy="625929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400">
              <a:solidFill>
                <a:schemeClr val="bg1"/>
              </a:solidFill>
              <a:latin typeface="Bodoni MT Black" pitchFamily="18" charset="0"/>
            </a:rPr>
            <a:t>Total Sales In Different Aspects</a:t>
          </a:r>
        </a:p>
      </xdr:txBody>
    </xdr:sp>
    <xdr:clientData/>
  </xdr:twoCellAnchor>
  <xdr:twoCellAnchor>
    <xdr:from>
      <xdr:col>1</xdr:col>
      <xdr:colOff>85725</xdr:colOff>
      <xdr:row>7</xdr:row>
      <xdr:rowOff>85725</xdr:rowOff>
    </xdr:from>
    <xdr:to>
      <xdr:col>10</xdr:col>
      <xdr:colOff>38100</xdr:colOff>
      <xdr:row>31</xdr:row>
      <xdr:rowOff>95250</xdr:rowOff>
    </xdr:to>
    <xdr:graphicFrame macro="">
      <xdr:nvGraphicFramePr>
        <xdr:cNvPr id="12341" name="Chart 5">
          <a:extLst>
            <a:ext uri="{FF2B5EF4-FFF2-40B4-BE49-F238E27FC236}">
              <a16:creationId xmlns:a16="http://schemas.microsoft.com/office/drawing/2014/main" id="{00000000-0008-0000-0500-000035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7</xdr:row>
      <xdr:rowOff>57150</xdr:rowOff>
    </xdr:from>
    <xdr:to>
      <xdr:col>20</xdr:col>
      <xdr:colOff>9525</xdr:colOff>
      <xdr:row>31</xdr:row>
      <xdr:rowOff>85725</xdr:rowOff>
    </xdr:to>
    <xdr:graphicFrame macro="">
      <xdr:nvGraphicFramePr>
        <xdr:cNvPr id="12342" name="Chart 7">
          <a:extLst>
            <a:ext uri="{FF2B5EF4-FFF2-40B4-BE49-F238E27FC236}">
              <a16:creationId xmlns:a16="http://schemas.microsoft.com/office/drawing/2014/main" id="{00000000-0008-0000-0500-000036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104775</xdr:colOff>
      <xdr:row>32</xdr:row>
      <xdr:rowOff>95250</xdr:rowOff>
    </xdr:from>
    <xdr:to>
      <xdr:col>9</xdr:col>
      <xdr:colOff>561975</xdr:colOff>
      <xdr:row>60</xdr:row>
      <xdr:rowOff>104775</xdr:rowOff>
    </xdr:to>
    <xdr:graphicFrame macro="">
      <xdr:nvGraphicFramePr>
        <xdr:cNvPr id="12343" name="Chart 8">
          <a:extLst>
            <a:ext uri="{FF2B5EF4-FFF2-40B4-BE49-F238E27FC236}">
              <a16:creationId xmlns:a16="http://schemas.microsoft.com/office/drawing/2014/main" id="{00000000-0008-0000-0500-000037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276225</xdr:colOff>
      <xdr:row>32</xdr:row>
      <xdr:rowOff>114300</xdr:rowOff>
    </xdr:from>
    <xdr:to>
      <xdr:col>20</xdr:col>
      <xdr:colOff>66675</xdr:colOff>
      <xdr:row>60</xdr:row>
      <xdr:rowOff>123825</xdr:rowOff>
    </xdr:to>
    <xdr:graphicFrame macro="">
      <xdr:nvGraphicFramePr>
        <xdr:cNvPr id="12344" name="Chart 9">
          <a:extLst>
            <a:ext uri="{FF2B5EF4-FFF2-40B4-BE49-F238E27FC236}">
              <a16:creationId xmlns:a16="http://schemas.microsoft.com/office/drawing/2014/main" id="{00000000-0008-0000-0500-000038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71.376846412037" createdVersion="1" refreshedVersion="3" recordCount="1112" upgradeOnRefresh="1" xr:uid="{00000000-000A-0000-FFFF-FFFF00000000}">
  <cacheSource type="worksheet">
    <worksheetSource ref="A1:S1113" sheet="Orders"/>
  </cacheSource>
  <cacheFields count="19">
    <cacheField name="Order ID" numFmtId="0">
      <sharedItems containsSemiMixedTypes="0" containsString="0" containsNumber="1" containsInteger="1" minValue="358" maxValue="59971" count="775">
        <n v="1637"/>
        <n v="1888"/>
        <n v="2052"/>
        <n v="2055"/>
        <n v="2309"/>
        <n v="2341"/>
        <n v="2436"/>
        <n v="2500"/>
        <n v="2535"/>
        <n v="2658"/>
        <n v="2725"/>
        <n v="2756"/>
        <n v="2853"/>
        <n v="2914"/>
        <n v="2978"/>
        <n v="3008"/>
        <n v="3042"/>
        <n v="3078"/>
        <n v="3175"/>
        <n v="3300"/>
        <n v="3328"/>
        <n v="3525"/>
        <n v="3526"/>
        <n v="3621"/>
        <n v="3649"/>
        <n v="3654"/>
        <n v="3814"/>
        <n v="3911"/>
        <n v="4134"/>
        <n v="4230"/>
        <n v="4324"/>
        <n v="4581"/>
        <n v="4706"/>
        <n v="4738"/>
        <n v="4771"/>
        <n v="4804"/>
        <n v="4870"/>
        <n v="4931"/>
        <n v="5094"/>
        <n v="5188"/>
        <n v="5189"/>
        <n v="5408"/>
        <n v="5472"/>
        <n v="5702"/>
        <n v="5958"/>
        <n v="5984"/>
        <n v="5989"/>
        <n v="5990"/>
        <n v="6054"/>
        <n v="6531"/>
        <n v="6564"/>
        <n v="6566"/>
        <n v="6693"/>
        <n v="6753"/>
        <n v="6788"/>
        <n v="6880"/>
        <n v="6886"/>
        <n v="7042"/>
        <n v="7043"/>
        <n v="7174"/>
        <n v="7458"/>
        <n v="7812"/>
        <n v="7840"/>
        <n v="7938"/>
        <n v="8001"/>
        <n v="8101"/>
        <n v="8161"/>
        <n v="8320"/>
        <n v="8325"/>
        <n v="8576"/>
        <n v="8582"/>
        <n v="8832"/>
        <n v="8901"/>
        <n v="8930"/>
        <n v="8999"/>
        <n v="9091"/>
        <n v="9092"/>
        <n v="9093"/>
        <n v="9251"/>
        <n v="9344"/>
        <n v="9824"/>
        <n v="10052"/>
        <n v="10080"/>
        <n v="10117"/>
        <n v="10146"/>
        <n v="10245"/>
        <n v="10277"/>
        <n v="10305"/>
        <n v="10339"/>
        <n v="10466"/>
        <n v="10562"/>
        <n v="10563"/>
        <n v="10658"/>
        <n v="10662"/>
        <n v="10948"/>
        <n v="11014"/>
        <n v="11077"/>
        <n v="11174"/>
        <n v="11236"/>
        <n v="11680"/>
        <n v="11682"/>
        <n v="11714"/>
        <n v="11748"/>
        <n v="11780"/>
        <n v="12007"/>
        <n v="12039"/>
        <n v="12066"/>
        <n v="12262"/>
        <n v="12486"/>
        <n v="12580"/>
        <n v="12612"/>
        <n v="12706"/>
        <n v="12708"/>
        <n v="12930"/>
        <n v="12965"/>
        <n v="13090"/>
        <n v="13157"/>
        <n v="13218"/>
        <n v="13314"/>
        <n v="13536"/>
        <n v="13569"/>
        <n v="13570"/>
        <n v="13602"/>
        <n v="13668"/>
        <n v="13923"/>
        <n v="13958"/>
        <n v="13991"/>
        <n v="14048"/>
        <n v="14311"/>
        <n v="14434"/>
        <n v="14630"/>
        <n v="14851"/>
        <n v="14950"/>
        <n v="14981"/>
        <n v="15105"/>
        <n v="15111"/>
        <n v="15202"/>
        <n v="15206"/>
        <n v="15616"/>
        <n v="15654"/>
        <n v="16102"/>
        <n v="16229"/>
        <n v="16356"/>
        <n v="16481"/>
        <n v="16641"/>
        <n v="16642"/>
        <n v="16709"/>
        <n v="16992"/>
        <n v="16995"/>
        <n v="17093"/>
        <n v="17510"/>
        <n v="17542"/>
        <n v="17568"/>
        <n v="17571"/>
        <n v="17636"/>
        <n v="17669"/>
        <n v="17700"/>
        <n v="17701"/>
        <n v="17799"/>
        <n v="18275"/>
        <n v="18336"/>
        <n v="18402"/>
        <n v="18466"/>
        <n v="18530"/>
        <n v="18790"/>
        <n v="18819"/>
        <n v="18849"/>
        <n v="18855"/>
        <n v="19040"/>
        <n v="19041"/>
        <n v="19047"/>
        <n v="19143"/>
        <n v="19264"/>
        <n v="19296"/>
        <n v="19299"/>
        <n v="19429"/>
        <n v="19430"/>
        <n v="19524"/>
        <n v="19556"/>
        <n v="19815"/>
        <n v="20096"/>
        <n v="20132"/>
        <n v="20225"/>
        <n v="20325"/>
        <n v="20450"/>
        <n v="20519"/>
        <n v="20679"/>
        <n v="20706"/>
        <n v="20898"/>
        <n v="20995"/>
        <n v="21159"/>
        <n v="21191"/>
        <n v="21286"/>
        <n v="21346"/>
        <n v="21475"/>
        <n v="21539"/>
        <n v="21639"/>
        <n v="21760"/>
        <n v="21827"/>
        <n v="21890"/>
        <n v="21927"/>
        <n v="21988"/>
        <n v="22083"/>
        <n v="22402"/>
        <n v="22433"/>
        <n v="22465"/>
        <n v="22466"/>
        <n v="22497"/>
        <n v="22627"/>
        <n v="22752"/>
        <n v="22848"/>
        <n v="22850"/>
        <n v="22912"/>
        <n v="22913"/>
        <n v="22914"/>
        <n v="23042"/>
        <n v="23168"/>
        <n v="23235"/>
        <n v="23238"/>
        <n v="23297"/>
        <n v="23301"/>
        <n v="23329"/>
        <n v="23366"/>
        <n v="23395"/>
        <n v="23488"/>
        <n v="23555"/>
        <n v="23617"/>
        <n v="23652"/>
        <n v="23680"/>
        <n v="23719"/>
        <n v="23778"/>
        <n v="23808"/>
        <n v="23877"/>
        <n v="24003"/>
        <n v="24548"/>
        <n v="24610"/>
        <n v="24677"/>
        <n v="25027"/>
        <n v="25157"/>
        <n v="25378"/>
        <n v="25445"/>
        <n v="25476"/>
        <n v="25797"/>
        <n v="25889"/>
        <n v="25986"/>
        <n v="26021"/>
        <n v="26055"/>
        <n v="26274"/>
        <n v="26306"/>
        <n v="26437"/>
        <n v="26464"/>
        <n v="26631"/>
        <n v="26689"/>
        <n v="26786"/>
        <n v="26976"/>
        <n v="27169"/>
        <n v="27363"/>
        <n v="27524"/>
        <n v="27554"/>
        <n v="27712"/>
        <n v="27715"/>
        <n v="27744"/>
        <n v="27745"/>
        <n v="27936"/>
        <n v="28007"/>
        <n v="28129"/>
        <n v="28224"/>
        <n v="28354"/>
        <n v="28387"/>
        <n v="28485"/>
        <n v="28643"/>
        <n v="28737"/>
        <n v="28807"/>
        <n v="28832"/>
        <n v="28933"/>
        <n v="29090"/>
        <n v="29221"/>
        <n v="29284"/>
        <n v="29505"/>
        <n v="29831"/>
        <n v="30720"/>
        <n v="30759"/>
        <n v="30848"/>
        <n v="30885"/>
        <n v="30887"/>
        <n v="31233"/>
        <n v="31461"/>
        <n v="31524"/>
        <n v="31590"/>
        <n v="31619"/>
        <n v="31715"/>
        <n v="32099"/>
        <n v="32129"/>
        <n v="32291"/>
        <n v="32902"/>
        <n v="32932"/>
        <n v="33095"/>
        <n v="33126"/>
        <n v="33222"/>
        <n v="33317"/>
        <n v="33445"/>
        <n v="33604"/>
        <n v="33696"/>
        <n v="33702"/>
        <n v="33923"/>
        <n v="33924"/>
        <n v="33987"/>
        <n v="34243"/>
        <n v="34279"/>
        <n v="34406"/>
        <n v="34597"/>
        <n v="34980"/>
        <n v="35361"/>
        <n v="35587"/>
        <n v="35780"/>
        <n v="35814"/>
        <n v="35938"/>
        <n v="35968"/>
        <n v="36033"/>
        <n v="36067"/>
        <n v="36131"/>
        <n v="36160"/>
        <n v="36196"/>
        <n v="36356"/>
        <n v="36647"/>
        <n v="36737"/>
        <n v="36832"/>
        <n v="36836"/>
        <n v="36867"/>
        <n v="37250"/>
        <n v="37473"/>
        <n v="37505"/>
        <n v="37537"/>
        <n v="37606"/>
        <n v="37668"/>
        <n v="37830"/>
        <n v="37957"/>
        <n v="38406"/>
        <n v="38594"/>
        <n v="38657"/>
        <n v="38850"/>
        <n v="38913"/>
        <n v="38948"/>
        <n v="39041"/>
        <n v="39136"/>
        <n v="39232"/>
        <n v="39617"/>
        <n v="39649"/>
        <n v="39654"/>
        <n v="39808"/>
        <n v="39841"/>
        <n v="39847"/>
        <n v="39907"/>
        <n v="40068"/>
        <n v="40420"/>
        <n v="40485"/>
        <n v="40998"/>
        <n v="41091"/>
        <n v="41152"/>
        <n v="41157"/>
        <n v="41349"/>
        <n v="41440"/>
        <n v="41539"/>
        <n v="41574"/>
        <n v="41831"/>
        <n v="41888"/>
        <n v="42054"/>
        <n v="42148"/>
        <n v="42306"/>
        <n v="42338"/>
        <n v="42343"/>
        <n v="42467"/>
        <n v="42529"/>
        <n v="42563"/>
        <n v="42567"/>
        <n v="42691"/>
        <n v="42919"/>
        <n v="43010"/>
        <n v="43043"/>
        <n v="43170"/>
        <n v="43397"/>
        <n v="43494"/>
        <n v="43682"/>
        <n v="43814"/>
        <n v="43815"/>
        <n v="43844"/>
        <n v="43846"/>
        <n v="43974"/>
        <n v="44000"/>
        <n v="44003"/>
        <n v="44069"/>
        <n v="44099"/>
        <n v="44133"/>
        <n v="44261"/>
        <n v="44323"/>
        <n v="44517"/>
        <n v="44549"/>
        <n v="44679"/>
        <n v="44836"/>
        <n v="45120"/>
        <n v="45158"/>
        <n v="45254"/>
        <n v="45315"/>
        <n v="45380"/>
        <n v="45409"/>
        <n v="45539"/>
        <n v="45605"/>
        <n v="45664"/>
        <n v="45671"/>
        <n v="45728"/>
        <n v="45762"/>
        <n v="46151"/>
        <n v="46407"/>
        <n v="46499"/>
        <n v="46631"/>
        <n v="46662"/>
        <n v="46691"/>
        <n v="46880"/>
        <n v="47011"/>
        <n v="47201"/>
        <n v="47457"/>
        <n v="47522"/>
        <n v="47553"/>
        <n v="47584"/>
        <n v="47683"/>
        <n v="47872"/>
        <n v="47877"/>
        <n v="47879"/>
        <n v="47910"/>
        <n v="47972"/>
        <n v="48192"/>
        <n v="48288"/>
        <n v="48293"/>
        <n v="48294"/>
        <n v="48322"/>
        <n v="48353"/>
        <n v="48420"/>
        <n v="48512"/>
        <n v="48641"/>
        <n v="48672"/>
        <n v="48709"/>
        <n v="48832"/>
        <n v="48836"/>
        <n v="48935"/>
        <n v="49026"/>
        <n v="49925"/>
        <n v="50337"/>
        <n v="50403"/>
        <n v="50656"/>
        <n v="50950"/>
        <n v="50977"/>
        <n v="51011"/>
        <n v="51171"/>
        <n v="51267"/>
        <n v="51362"/>
        <n v="51489"/>
        <n v="51493"/>
        <n v="51969"/>
        <n v="52003"/>
        <n v="52196"/>
        <n v="52292"/>
        <n v="52423"/>
        <n v="52448"/>
        <n v="52580"/>
        <n v="53056"/>
        <n v="53060"/>
        <n v="53283"/>
        <n v="53344"/>
        <n v="53381"/>
        <n v="53571"/>
        <n v="53635"/>
        <n v="53762"/>
        <n v="54086"/>
        <n v="54180"/>
        <n v="54215"/>
        <n v="54336"/>
        <n v="54467"/>
        <n v="54534"/>
        <n v="54564"/>
        <n v="54692"/>
        <n v="54727"/>
        <n v="54886"/>
        <n v="54977"/>
        <n v="55040"/>
        <n v="55139"/>
        <n v="55203"/>
        <n v="55330"/>
        <n v="55431"/>
        <n v="55494"/>
        <n v="55554"/>
        <n v="55651"/>
        <n v="56006"/>
        <n v="56130"/>
        <n v="56162"/>
        <n v="56261"/>
        <n v="56358"/>
        <n v="56452"/>
        <n v="56483"/>
        <n v="56484"/>
        <n v="56676"/>
        <n v="56740"/>
        <n v="56802"/>
        <n v="56868"/>
        <n v="56869"/>
        <n v="57190"/>
        <n v="57248"/>
        <n v="57318"/>
        <n v="57350"/>
        <n v="57381"/>
        <n v="57444"/>
        <n v="57476"/>
        <n v="57633"/>
        <n v="57669"/>
        <n v="57734"/>
        <n v="57760"/>
        <n v="57891"/>
        <n v="58084"/>
        <n v="58179"/>
        <n v="58279"/>
        <n v="58369"/>
        <n v="58371"/>
        <n v="58433"/>
        <n v="58855"/>
        <n v="59173"/>
        <n v="59204"/>
        <n v="59363"/>
        <n v="59553"/>
        <n v="59681"/>
        <n v="59781"/>
        <n v="59812"/>
        <n v="59815"/>
        <n v="59971"/>
        <n v="481"/>
        <n v="834"/>
        <n v="1414"/>
        <n v="2305"/>
        <n v="2311"/>
        <n v="2438"/>
        <n v="2595"/>
        <n v="2790"/>
        <n v="3395"/>
        <n v="3907"/>
        <n v="4195"/>
        <n v="4391"/>
        <n v="4422"/>
        <n v="4741"/>
        <n v="4835"/>
        <n v="5095"/>
        <n v="5317"/>
        <n v="5735"/>
        <n v="5856"/>
        <n v="5891"/>
        <n v="6274"/>
        <n v="6309"/>
        <n v="6368"/>
        <n v="6978"/>
        <n v="7461"/>
        <n v="9505"/>
        <n v="9794"/>
        <n v="10148"/>
        <n v="11045"/>
        <n v="11074"/>
        <n v="12449"/>
        <n v="14661"/>
        <n v="15303"/>
        <n v="15622"/>
        <n v="15778"/>
        <n v="16164"/>
        <n v="16166"/>
        <n v="16768"/>
        <n v="17313"/>
        <n v="17447"/>
        <n v="18145"/>
        <n v="18215"/>
        <n v="18598"/>
        <n v="19234"/>
        <n v="19555"/>
        <n v="19843"/>
        <n v="20646"/>
        <n v="21222"/>
        <n v="22755"/>
        <n v="23136"/>
        <n v="23685"/>
        <n v="23745"/>
        <n v="25571"/>
        <n v="26053"/>
        <n v="26277"/>
        <n v="26374"/>
        <n v="26944"/>
        <n v="27013"/>
        <n v="27904"/>
        <n v="27974"/>
        <n v="29767"/>
        <n v="29826"/>
        <n v="30566"/>
        <n v="30852"/>
        <n v="31204"/>
        <n v="32513"/>
        <n v="32641"/>
        <n v="33729"/>
        <n v="34083"/>
        <n v="34275"/>
        <n v="34532"/>
        <n v="35139"/>
        <n v="35239"/>
        <n v="35875"/>
        <n v="37125"/>
        <n v="37158"/>
        <n v="37380"/>
        <n v="37445"/>
        <n v="38212"/>
        <n v="38240"/>
        <n v="38661"/>
        <n v="39110"/>
        <n v="39235"/>
        <n v="39270"/>
        <n v="39586"/>
        <n v="39812"/>
        <n v="40673"/>
        <n v="41413"/>
        <n v="41824"/>
        <n v="42628"/>
        <n v="42722"/>
        <n v="42753"/>
        <n v="43013"/>
        <n v="44198"/>
        <n v="44451"/>
        <n v="44576"/>
        <n v="44834"/>
        <n v="46053"/>
        <n v="47329"/>
        <n v="47461"/>
        <n v="47525"/>
        <n v="48803"/>
        <n v="49027"/>
        <n v="50822"/>
        <n v="51714"/>
        <n v="51815"/>
        <n v="51906"/>
        <n v="52128"/>
        <n v="52675"/>
        <n v="53189"/>
        <n v="54307"/>
        <n v="54917"/>
        <n v="56930"/>
        <n v="57511"/>
        <n v="57857"/>
        <n v="57861"/>
        <n v="58247"/>
        <n v="58470"/>
        <n v="58759"/>
        <n v="59780"/>
        <n v="358"/>
        <n v="1767"/>
        <n v="1863"/>
        <n v="2915"/>
        <n v="3046"/>
        <n v="4389"/>
        <n v="6180"/>
        <n v="7078"/>
        <n v="7654"/>
        <n v="7746"/>
        <n v="8387"/>
        <n v="8768"/>
        <n v="9504"/>
        <n v="10341"/>
        <n v="10982"/>
        <n v="14176"/>
        <n v="14497"/>
        <n v="15074"/>
        <n v="15104"/>
        <n v="16834"/>
        <n v="17445"/>
        <n v="18593"/>
        <n v="19652"/>
        <n v="20743"/>
        <n v="21862"/>
        <n v="22787"/>
        <n v="23170"/>
        <n v="23328"/>
        <n v="24260"/>
        <n v="24261"/>
        <n v="26054"/>
        <n v="27750"/>
        <n v="27872"/>
        <n v="31109"/>
        <n v="32165"/>
        <n v="32325"/>
        <n v="32931"/>
        <n v="33189"/>
        <n v="33479"/>
        <n v="34311"/>
        <n v="35111"/>
        <n v="35173"/>
        <n v="36773"/>
        <n v="36997"/>
        <n v="37700"/>
        <n v="38529"/>
        <n v="40162"/>
        <n v="40612"/>
        <n v="41987"/>
        <n v="42083"/>
        <n v="42151"/>
        <n v="42658"/>
        <n v="43911"/>
        <n v="44005"/>
        <n v="44486"/>
        <n v="45284"/>
        <n v="45668"/>
        <n v="46023"/>
        <n v="46533"/>
        <n v="48321"/>
        <n v="48673"/>
        <n v="48742"/>
        <n v="48998"/>
        <n v="50246"/>
        <n v="51200"/>
        <n v="51271"/>
        <n v="51297"/>
        <n v="51842"/>
        <n v="51968"/>
        <n v="52578"/>
        <n v="53027"/>
        <n v="54214"/>
        <n v="54342"/>
        <n v="54656"/>
        <n v="54949"/>
        <n v="55813"/>
        <n v="56577"/>
        <n v="56834"/>
        <n v="57380"/>
        <n v="58722"/>
        <n v="58981"/>
        <n v="59686"/>
        <n v="6791"/>
        <n v="9895"/>
        <n v="11846"/>
        <n v="12450"/>
        <n v="16518"/>
        <n v="17860"/>
        <n v="17952"/>
        <n v="18596"/>
        <n v="21410"/>
        <n v="22563"/>
        <n v="25318"/>
        <n v="26688"/>
        <n v="26881"/>
        <n v="26887"/>
        <n v="29761"/>
        <n v="31810"/>
        <n v="36548"/>
        <n v="39585"/>
        <n v="41793"/>
        <n v="42949"/>
        <n v="43044"/>
        <n v="46048"/>
        <n v="48354"/>
        <n v="48416"/>
        <n v="49798"/>
        <n v="50470"/>
        <n v="52900"/>
        <n v="57572"/>
        <n v="57766"/>
        <n v="58566"/>
        <n v="58658"/>
        <n v="59139"/>
        <n v="59942"/>
        <n v="5350"/>
        <n v="6850"/>
        <n v="7488"/>
        <n v="7552"/>
        <n v="7585"/>
        <n v="8289"/>
        <n v="8679"/>
        <n v="12481"/>
      </sharedItems>
    </cacheField>
    <cacheField name="Order Date" numFmtId="0">
      <sharedItems containsNonDate="0" containsDate="1" containsString="0" containsBlank="1" minDate="2009-01-02T00:00:00" maxDate="2012-12-31T00:00:00" count="605">
        <d v="2011-02-07T00:00:00"/>
        <d v="2010-10-30T00:00:00"/>
        <d v="2012-04-12T00:00:00"/>
        <d v="2010-09-03T00:00:00"/>
        <d v="2011-09-03T00:00:00"/>
        <d v="2010-05-29T00:00:00"/>
        <d v="2011-09-10T00:00:00"/>
        <d v="2012-08-14T00:00:00"/>
        <d v="2010-05-24T00:00:00"/>
        <d v="2011-09-22T00:00:00"/>
        <d v="2009-05-20T00:00:00"/>
        <d v="2009-04-17T00:00:00"/>
        <d v="2009-05-04T00:00:00"/>
        <d v="2010-03-02T00:00:00"/>
        <d v="2011-05-02T00:00:00"/>
        <d v="2011-11-07T00:00:00"/>
        <d v="2009-11-20T00:00:00"/>
        <d v="2010-02-11T00:00:00"/>
        <d v="2009-07-14T00:00:00"/>
        <d v="2011-07-14T00:00:00"/>
        <d v="2012-11-18T00:00:00"/>
        <d v="2011-12-21T00:00:00"/>
        <d v="2011-03-15T00:00:00"/>
        <d v="2010-05-05T00:00:00"/>
        <d v="2009-07-05T00:00:00"/>
        <d v="2012-06-02T00:00:00"/>
        <d v="2011-02-21T00:00:00"/>
        <d v="2011-03-16T00:00:00"/>
        <d v="2011-01-11T00:00:00"/>
        <d v="2012-03-03T00:00:00"/>
        <d v="2011-07-16T00:00:00"/>
        <d v="2012-09-03T00:00:00"/>
        <d v="2012-12-28T00:00:00"/>
        <d v="2012-04-07T00:00:00"/>
        <d v="2012-12-13T00:00:00"/>
        <d v="2012-01-27T00:00:00"/>
        <d v="2009-08-05T00:00:00"/>
        <d v="2009-11-16T00:00:00"/>
        <d v="2010-03-28T00:00:00"/>
        <d v="2011-03-01T00:00:00"/>
        <d v="2010-11-25T00:00:00"/>
        <d v="2012-07-20T00:00:00"/>
        <d v="2010-04-10T00:00:00"/>
        <d v="2010-09-06T00:00:00"/>
        <d v="2011-09-15T00:00:00"/>
        <d v="2009-06-17T00:00:00"/>
        <d v="2011-10-14T00:00:00"/>
        <d v="2010-04-07T00:00:00"/>
        <d v="2011-09-08T00:00:00"/>
        <d v="2010-07-17T00:00:00"/>
        <d v="2011-01-21T00:00:00"/>
        <d v="2011-05-21T00:00:00"/>
        <d v="2012-05-24T00:00:00"/>
        <d v="2010-09-26T00:00:00"/>
        <d v="2011-08-04T00:00:00"/>
        <d v="2009-05-25T00:00:00"/>
        <d v="2012-01-19T00:00:00"/>
        <d v="2012-01-08T00:00:00"/>
        <d v="2009-01-25T00:00:00"/>
        <d v="2012-03-10T00:00:00"/>
        <d v="2012-04-04T00:00:00"/>
        <d v="2011-04-20T00:00:00"/>
        <d v="2011-01-08T00:00:00"/>
        <d v="2010-03-13T00:00:00"/>
        <d v="2010-11-19T00:00:00"/>
        <d v="2010-03-04T00:00:00"/>
        <d v="2009-06-03T00:00:00"/>
        <d v="2009-09-19T00:00:00"/>
        <d v="2009-01-14T00:00:00"/>
        <d v="2009-01-09T00:00:00"/>
        <d v="2010-11-20T00:00:00"/>
        <d v="2012-02-02T00:00:00"/>
        <d v="2011-08-20T00:00:00"/>
        <d v="2009-05-19T00:00:00"/>
        <d v="2009-06-12T00:00:00"/>
        <d v="2010-11-11T00:00:00"/>
        <d v="2009-07-24T00:00:00"/>
        <d v="2011-12-09T00:00:00"/>
        <d v="2010-08-29T00:00:00"/>
        <d v="2011-12-06T00:00:00"/>
        <d v="2011-01-22T00:00:00"/>
        <d v="2009-09-07T00:00:00"/>
        <d v="2010-02-12T00:00:00"/>
        <d v="2010-11-16T00:00:00"/>
        <d v="2009-05-01T00:00:00"/>
        <d v="2011-02-13T00:00:00"/>
        <d v="2009-04-07T00:00:00"/>
        <d v="2009-07-07T00:00:00"/>
        <d v="2011-10-11T00:00:00"/>
        <d v="2012-12-25T00:00:00"/>
        <d v="2009-11-11T00:00:00"/>
        <d v="2010-09-29T00:00:00"/>
        <d v="2009-08-27T00:00:00"/>
        <d v="2011-05-12T00:00:00"/>
        <d v="2012-08-13T00:00:00"/>
        <d v="2010-09-07T00:00:00"/>
        <d v="2009-03-20T00:00:00"/>
        <d v="2009-04-09T00:00:00"/>
        <d v="2009-09-04T00:00:00"/>
        <d v="2010-07-04T00:00:00"/>
        <d v="2009-08-04T00:00:00"/>
        <d v="2010-09-21T00:00:00"/>
        <d v="2009-09-27T00:00:00"/>
        <d v="2010-06-16T00:00:00"/>
        <d v="2011-02-06T00:00:00"/>
        <d v="2011-12-10T00:00:00"/>
        <d v="2011-02-20T00:00:00"/>
        <d v="2010-01-13T00:00:00"/>
        <d v="2010-12-21T00:00:00"/>
        <d v="2010-01-07T00:00:00"/>
        <d v="2011-11-24T00:00:00"/>
        <d v="2010-06-25T00:00:00"/>
        <d v="2010-07-26T00:00:00"/>
        <d v="2012-02-11T00:00:00"/>
        <d v="2009-05-16T00:00:00"/>
        <d v="2009-05-13T00:00:00"/>
        <d v="2009-08-18T00:00:00"/>
        <d v="2011-04-10T00:00:00"/>
        <d v="2012-12-02T00:00:00"/>
        <d v="2009-01-13T00:00:00"/>
        <d v="2012-02-24T00:00:00"/>
        <d v="2012-07-08T00:00:00"/>
        <d v="2010-01-23T00:00:00"/>
        <d v="2012-03-06T00:00:00"/>
        <d v="2010-05-17T00:00:00"/>
        <d v="2009-08-01T00:00:00"/>
        <d v="2011-02-15T00:00:00"/>
        <d v="2012-10-16T00:00:00"/>
        <d v="2012-05-11T00:00:00"/>
        <d v="2010-10-26T00:00:00"/>
        <d v="2009-11-03T00:00:00"/>
        <d v="2009-12-17T00:00:00"/>
        <d v="2010-07-09T00:00:00"/>
        <d v="2010-11-04T00:00:00"/>
        <d v="2012-03-23T00:00:00"/>
        <d v="2009-10-02T00:00:00"/>
        <d v="2009-12-13T00:00:00"/>
        <d v="2009-03-29T00:00:00"/>
        <d v="2011-08-02T00:00:00"/>
        <d v="2011-02-18T00:00:00"/>
        <d v="2010-05-10T00:00:00"/>
        <d v="2011-03-02T00:00:00"/>
        <d v="2012-10-06T00:00:00"/>
        <d v="2010-12-12T00:00:00"/>
        <d v="2010-12-18T00:00:00"/>
        <d v="2012-10-30T00:00:00"/>
        <d v="2010-08-31T00:00:00"/>
        <d v="2010-10-08T00:00:00"/>
        <d v="2012-03-15T00:00:00"/>
        <d v="2009-02-04T00:00:00"/>
        <d v="2009-04-29T00:00:00"/>
        <d v="2012-10-27T00:00:00"/>
        <d v="2012-05-21T00:00:00"/>
        <d v="2012-09-20T00:00:00"/>
        <d v="2012-01-10T00:00:00"/>
        <d v="2009-04-24T00:00:00"/>
        <d v="2009-08-29T00:00:00"/>
        <d v="2010-12-31T00:00:00"/>
        <d v="2009-02-11T00:00:00"/>
        <d v="2009-02-25T00:00:00"/>
        <d v="2012-08-05T00:00:00"/>
        <d v="2009-09-15T00:00:00"/>
        <d v="2011-12-19T00:00:00"/>
        <d v="2011-07-26T00:00:00"/>
        <d v="2009-01-28T00:00:00"/>
        <d v="2012-11-04T00:00:00"/>
        <d v="2011-09-29T00:00:00"/>
        <d v="2009-03-18T00:00:00"/>
        <d v="2009-08-24T00:00:00"/>
        <d v="2010-11-13T00:00:00"/>
        <d v="2010-01-14T00:00:00"/>
        <d v="2010-12-30T00:00:00"/>
        <d v="2010-03-25T00:00:00"/>
        <d v="2012-08-19T00:00:00"/>
        <d v="2010-07-03T00:00:00"/>
        <d v="2012-12-07T00:00:00"/>
        <d v="2009-04-10T00:00:00"/>
        <d v="2010-08-14T00:00:00"/>
        <d v="2009-07-12T00:00:00"/>
        <d v="2011-10-30T00:00:00"/>
        <d v="2012-03-27T00:00:00"/>
        <d v="2011-06-07T00:00:00"/>
        <d v="2012-11-14T00:00:00"/>
        <d v="2011-02-02T00:00:00"/>
        <d v="2011-01-30T00:00:00"/>
        <d v="2012-11-09T00:00:00"/>
        <d v="2011-01-24T00:00:00"/>
        <d v="2009-02-17T00:00:00"/>
        <d v="2009-05-27T00:00:00"/>
        <d v="2011-03-03T00:00:00"/>
        <d v="2012-07-21T00:00:00"/>
        <d v="2012-03-28T00:00:00"/>
        <d v="2012-04-28T00:00:00"/>
        <d v="2010-04-03T00:00:00"/>
        <d v="2011-04-30T00:00:00"/>
        <d v="2010-10-16T00:00:00"/>
        <d v="2012-01-13T00:00:00"/>
        <d v="2009-04-26T00:00:00"/>
        <d v="2010-09-15T00:00:00"/>
        <d v="2011-07-05T00:00:00"/>
        <d v="2010-03-31T00:00:00"/>
        <d v="2012-07-02T00:00:00"/>
        <d v="2011-04-18T00:00:00"/>
        <d v="2010-12-26T00:00:00"/>
        <d v="2009-01-06T00:00:00"/>
        <d v="2012-12-11T00:00:00"/>
        <d v="2011-05-05T00:00:00"/>
        <d v="2009-08-30T00:00:00"/>
        <d v="2010-11-06T00:00:00"/>
        <d v="2010-07-25T00:00:00"/>
        <d v="2009-07-13T00:00:00"/>
        <d v="2009-02-07T00:00:00"/>
        <d v="2009-10-31T00:00:00"/>
        <d v="2011-03-14T00:00:00"/>
        <d v="2010-01-18T00:00:00"/>
        <d v="2012-03-05T00:00:00"/>
        <d v="2009-12-16T00:00:00"/>
        <d v="2010-05-25T00:00:00"/>
        <d v="2011-12-18T00:00:00"/>
        <d v="2012-10-02T00:00:00"/>
        <d v="2012-09-01T00:00:00"/>
        <d v="2010-06-08T00:00:00"/>
        <d v="2012-06-22T00:00:00"/>
        <d v="2012-09-14T00:00:00"/>
        <d v="2012-11-25T00:00:00"/>
        <d v="2012-06-12T00:00:00"/>
        <d v="2011-11-28T00:00:00"/>
        <d v="2011-12-11T00:00:00"/>
        <d v="2010-11-01T00:00:00"/>
        <d v="2009-09-29T00:00:00"/>
        <d v="2011-05-20T00:00:00"/>
        <d v="2011-09-11T00:00:00"/>
        <d v="2011-10-18T00:00:00"/>
        <d v="2010-02-01T00:00:00"/>
        <d v="2011-03-10T00:00:00"/>
        <d v="2011-09-19T00:00:00"/>
        <d v="2010-08-03T00:00:00"/>
        <d v="2010-09-20T00:00:00"/>
        <d v="2011-07-07T00:00:00"/>
        <d v="2010-04-08T00:00:00"/>
        <d v="2012-01-26T00:00:00"/>
        <d v="2012-12-19T00:00:00"/>
        <d v="2009-03-27T00:00:00"/>
        <d v="2012-06-29T00:00:00"/>
        <d v="2012-01-12T00:00:00"/>
        <d v="2010-04-27T00:00:00"/>
        <d v="2011-10-03T00:00:00"/>
        <d v="2011-03-31T00:00:00"/>
        <d v="2010-09-24T00:00:00"/>
        <d v="2009-07-09T00:00:00"/>
        <d v="2012-01-16T00:00:00"/>
        <d v="2012-05-29T00:00:00"/>
        <d v="2012-12-27T00:00:00"/>
        <d v="2012-03-29T00:00:00"/>
        <d v="2012-09-27T00:00:00"/>
        <d v="2009-05-08T00:00:00"/>
        <d v="2011-05-01T00:00:00"/>
        <d v="2010-06-21T00:00:00"/>
        <d v="2010-07-07T00:00:00"/>
        <d v="2011-09-24T00:00:00"/>
        <d v="2011-06-27T00:00:00"/>
        <d v="2011-06-26T00:00:00"/>
        <d v="2010-06-05T00:00:00"/>
        <d v="2009-09-17T00:00:00"/>
        <d v="2011-07-02T00:00:00"/>
        <d v="2009-11-05T00:00:00"/>
        <d v="2010-01-09T00:00:00"/>
        <d v="2009-02-15T00:00:00"/>
        <d v="2011-11-12T00:00:00"/>
        <d v="2012-06-19T00:00:00"/>
        <d v="2009-05-11T00:00:00"/>
        <d v="2012-08-02T00:00:00"/>
        <d v="2011-08-18T00:00:00"/>
        <d v="2009-05-07T00:00:00"/>
        <d v="2012-09-02T00:00:00"/>
        <d v="2009-01-07T00:00:00"/>
        <d v="2012-10-18T00:00:00"/>
        <d v="2011-10-25T00:00:00"/>
        <d v="2011-02-11T00:00:00"/>
        <d v="2012-09-28T00:00:00"/>
        <d v="2010-12-16T00:00:00"/>
        <d v="2010-08-02T00:00:00"/>
        <d v="2009-04-06T00:00:00"/>
        <d v="2011-11-10T00:00:00"/>
        <d v="2011-01-17T00:00:00"/>
        <d v="2012-11-17T00:00:00"/>
        <d v="2009-12-19T00:00:00"/>
        <d v="2009-07-04T00:00:00"/>
        <d v="2009-05-17T00:00:00"/>
        <d v="2012-11-22T00:00:00"/>
        <d v="2011-08-06T00:00:00"/>
        <d v="2011-12-25T00:00:00"/>
        <d v="2009-06-30T00:00:00"/>
        <d v="2010-03-15T00:00:00"/>
        <d v="2012-06-01T00:00:00"/>
        <d v="2010-02-26T00:00:00"/>
        <d v="2009-09-05T00:00:00"/>
        <d v="2009-10-01T00:00:00"/>
        <d v="2011-06-03T00:00:00"/>
        <d v="2009-01-02T00:00:00"/>
        <d v="2010-02-22T00:00:00"/>
        <d v="2010-01-08T00:00:00"/>
        <d v="2009-08-16T00:00:00"/>
        <d v="2010-11-05T00:00:00"/>
        <d v="2010-12-02T00:00:00"/>
        <d v="2009-12-01T00:00:00"/>
        <d v="2010-05-28T00:00:00"/>
        <d v="2010-04-29T00:00:00"/>
        <d v="2009-09-06T00:00:00"/>
        <d v="2011-06-05T00:00:00"/>
        <d v="2011-10-26T00:00:00"/>
        <d v="2009-06-24T00:00:00"/>
        <d v="2011-07-12T00:00:00"/>
        <d v="2011-12-17T00:00:00"/>
        <d v="2009-10-19T00:00:00"/>
        <d v="2012-09-30T00:00:00"/>
        <d v="2010-01-01T00:00:00"/>
        <d v="2010-04-04T00:00:00"/>
        <d v="2010-04-20T00:00:00"/>
        <d v="2011-01-10T00:00:00"/>
        <d v="2009-12-27T00:00:00"/>
        <d v="2009-05-02T00:00:00"/>
        <d v="2009-05-24T00:00:00"/>
        <d v="2011-04-16T00:00:00"/>
        <d v="2009-09-22T00:00:00"/>
        <d v="2011-05-03T00:00:00"/>
        <d v="2009-02-28T00:00:00"/>
        <d v="2011-10-20T00:00:00"/>
        <d v="2009-11-02T00:00:00"/>
        <d v="2009-08-14T00:00:00"/>
        <d v="2010-10-14T00:00:00"/>
        <d v="2010-10-10T00:00:00"/>
        <d v="2010-08-12T00:00:00"/>
        <d v="2010-01-11T00:00:00"/>
        <d v="2011-10-06T00:00:00"/>
        <d v="2012-10-09T00:00:00"/>
        <d v="2012-04-14T00:00:00"/>
        <d v="2010-05-13T00:00:00"/>
        <d v="2012-01-03T00:00:00"/>
        <d v="2012-08-27T00:00:00"/>
        <d v="2011-01-09T00:00:00"/>
        <d v="2012-06-13T00:00:00"/>
        <d v="2010-10-31T00:00:00"/>
        <d v="2009-02-26T00:00:00"/>
        <d v="2009-09-16T00:00:00"/>
        <d v="2012-10-04T00:00:00"/>
        <d v="2011-11-17T00:00:00"/>
        <d v="2012-03-12T00:00:00"/>
        <d v="2010-01-06T00:00:00"/>
        <d v="2012-08-07T00:00:00"/>
        <d v="2009-04-23T00:00:00"/>
        <d v="2012-01-22T00:00:00"/>
        <d v="2012-06-03T00:00:00"/>
        <d v="2009-09-11T00:00:00"/>
        <d v="2012-04-20T00:00:00"/>
        <d v="2009-04-30T00:00:00"/>
        <d v="2010-04-12T00:00:00"/>
        <d v="2009-08-02T00:00:00"/>
        <d v="2012-06-09T00:00:00"/>
        <d v="2011-06-12T00:00:00"/>
        <d v="2010-07-21T00:00:00"/>
        <d v="2009-11-08T00:00:00"/>
        <d v="2009-03-26T00:00:00"/>
        <d v="2009-06-07T00:00:00"/>
        <d v="2012-03-11T00:00:00"/>
        <d v="2011-12-29T00:00:00"/>
        <d v="2012-06-24T00:00:00"/>
        <d v="2009-02-19T00:00:00"/>
        <d v="2009-12-28T00:00:00"/>
        <d v="2012-10-23T00:00:00"/>
        <d v="2011-05-22T00:00:00"/>
        <d v="2010-07-27T00:00:00"/>
        <d v="2010-09-01T00:00:00"/>
        <d v="2009-08-28T00:00:00"/>
        <d v="2012-01-11T00:00:00"/>
        <d v="2009-08-15T00:00:00"/>
        <d v="2010-10-11T00:00:00"/>
        <d v="2011-07-22T00:00:00"/>
        <d v="2012-04-09T00:00:00"/>
        <d v="2010-05-26T00:00:00"/>
        <d v="2012-03-04T00:00:00"/>
        <d v="2012-12-15T00:00:00"/>
        <d v="2009-10-11T00:00:00"/>
        <d v="2011-08-03T00:00:00"/>
        <d v="2011-12-05T00:00:00"/>
        <d v="2012-12-26T00:00:00"/>
        <d v="2011-08-28T00:00:00"/>
        <d v="2009-02-14T00:00:00"/>
        <d v="2011-03-07T00:00:00"/>
        <d v="2010-01-22T00:00:00"/>
        <d v="2009-04-16T00:00:00"/>
        <d v="2012-05-12T00:00:00"/>
        <d v="2009-10-25T00:00:00"/>
        <d v="2012-12-30T00:00:00"/>
        <d v="2012-06-11T00:00:00"/>
        <d v="2010-06-06T00:00:00"/>
        <d v="2012-05-03T00:00:00"/>
        <d v="2011-07-06T00:00:00"/>
        <d v="2011-09-04T00:00:00"/>
        <d v="2012-02-18T00:00:00"/>
        <d v="2010-01-30T00:00:00"/>
        <d v="2010-10-03T00:00:00"/>
        <d v="2011-04-11T00:00:00"/>
        <d v="2010-09-10T00:00:00"/>
        <d v="2012-08-28T00:00:00"/>
        <d v="2011-11-03T00:00:00"/>
        <d v="2010-03-22T00:00:00"/>
        <d v="2011-10-28T00:00:00"/>
        <d v="2010-02-24T00:00:00"/>
        <d v="2012-07-18T00:00:00"/>
        <d v="2012-09-06T00:00:00"/>
        <d v="2012-10-22T00:00:00"/>
        <d v="2011-10-21T00:00:00"/>
        <d v="2010-04-15T00:00:00"/>
        <d v="2010-10-18T00:00:00"/>
        <d v="2012-03-19T00:00:00"/>
        <d v="2010-12-06T00:00:00"/>
        <d v="2010-03-05T00:00:00"/>
        <d v="2010-12-13T00:00:00"/>
        <d v="2012-08-04T00:00:00"/>
        <d v="2011-07-10T00:00:00"/>
        <d v="2009-04-12T00:00:00"/>
        <d v="2010-01-17T00:00:00"/>
        <d v="2010-04-11T00:00:00"/>
        <d v="2009-08-12T00:00:00"/>
        <d v="2012-06-08T00:00:00"/>
        <d v="2012-06-25T00:00:00"/>
        <d v="2012-03-07T00:00:00"/>
        <d v="2011-10-01T00:00:00"/>
        <d v="2011-11-29T00:00:00"/>
        <d v="2011-04-25T00:00:00"/>
        <d v="2012-02-27T00:00:00"/>
        <d v="2012-03-01T00:00:00"/>
        <d v="2011-11-21T00:00:00"/>
        <d v="2012-10-25T00:00:00"/>
        <d v="2011-12-03T00:00:00"/>
        <d v="2010-07-23T00:00:00"/>
        <d v="2009-10-15T00:00:00"/>
        <d v="2010-01-10T00:00:00"/>
        <d v="2011-05-25T00:00:00"/>
        <d v="2009-08-07T00:00:00"/>
        <d v="2011-05-14T00:00:00"/>
        <d v="2009-03-16T00:00:00"/>
        <d v="2010-08-08T00:00:00"/>
        <d v="2010-12-17T00:00:00"/>
        <d v="2011-09-05T00:00:00"/>
        <d v="2009-04-11T00:00:00"/>
        <d v="2012-08-30T00:00:00"/>
        <d v="2010-05-11T00:00:00"/>
        <d v="2011-07-01T00:00:00"/>
        <d v="2010-12-20T00:00:00"/>
        <d v="2012-02-29T00:00:00"/>
        <d v="2010-11-12T00:00:00"/>
        <d v="2009-06-11T00:00:00"/>
        <m/>
        <d v="2011-05-31T00:00:00"/>
        <d v="2012-10-07T00:00:00"/>
        <d v="2009-05-22T00:00:00"/>
        <d v="2011-08-15T00:00:00"/>
        <d v="2010-01-25T00:00:00"/>
        <d v="2010-07-14T00:00:00"/>
        <d v="2011-12-13T00:00:00"/>
        <d v="2009-10-29T00:00:00"/>
        <d v="2012-08-18T00:00:00"/>
        <d v="2012-02-17T00:00:00"/>
        <d v="2012-07-06T00:00:00"/>
        <d v="2009-10-24T00:00:00"/>
        <d v="2012-04-21T00:00:00"/>
        <d v="2009-09-08T00:00:00"/>
        <d v="2009-12-10T00:00:00"/>
        <d v="2010-06-09T00:00:00"/>
        <d v="2009-02-22T00:00:00"/>
        <d v="2010-12-09T00:00:00"/>
        <d v="2009-01-12T00:00:00"/>
        <d v="2012-06-07T00:00:00"/>
        <d v="2012-03-24T00:00:00"/>
        <d v="2009-03-25T00:00:00"/>
        <d v="2012-03-25T00:00:00"/>
        <d v="2011-06-09T00:00:00"/>
        <d v="2010-01-31T00:00:00"/>
        <d v="2010-01-24T00:00:00"/>
        <d v="2010-09-13T00:00:00"/>
        <d v="2011-08-25T00:00:00"/>
        <d v="2010-05-06T00:00:00"/>
        <d v="2009-07-25T00:00:00"/>
        <d v="2012-05-18T00:00:00"/>
        <d v="2010-09-04T00:00:00"/>
        <d v="2010-09-19T00:00:00"/>
        <d v="2010-08-06T00:00:00"/>
        <d v="2009-01-24T00:00:00"/>
        <d v="2010-07-29T00:00:00"/>
        <d v="2011-03-30T00:00:00"/>
        <d v="2009-02-03T00:00:00"/>
        <d v="2009-03-30T00:00:00"/>
        <d v="2009-09-25T00:00:00"/>
        <d v="2012-12-05T00:00:00"/>
        <d v="2012-01-24T00:00:00"/>
        <d v="2009-11-07T00:00:00"/>
        <d v="2010-10-07T00:00:00"/>
        <d v="2011-02-05T00:00:00"/>
        <d v="2009-09-24T00:00:00"/>
        <d v="2009-05-14T00:00:00"/>
        <d v="2010-08-21T00:00:00"/>
        <d v="2010-03-21T00:00:00"/>
        <d v="2012-09-19T00:00:00"/>
        <d v="2012-02-05T00:00:00"/>
        <d v="2009-07-01T00:00:00"/>
        <d v="2011-06-14T00:00:00"/>
        <d v="2012-09-22T00:00:00"/>
        <d v="2011-04-01T00:00:00"/>
        <d v="2011-04-04T00:00:00"/>
        <d v="2012-02-12T00:00:00"/>
        <d v="2010-02-05T00:00:00"/>
        <d v="2011-05-19T00:00:00"/>
        <d v="2009-06-20T00:00:00"/>
        <d v="2011-11-16T00:00:00"/>
        <d v="2012-01-18T00:00:00"/>
        <d v="2011-04-22T00:00:00"/>
        <d v="2011-01-04T00:00:00"/>
        <d v="2009-12-25T00:00:00"/>
        <d v="2009-04-20T00:00:00"/>
        <d v="2012-09-13T00:00:00"/>
        <d v="2010-02-10T00:00:00"/>
        <d v="2010-04-25T00:00:00"/>
        <d v="2012-02-07T00:00:00"/>
        <d v="2009-05-26T00:00:00"/>
        <d v="2011-09-01T00:00:00"/>
        <d v="2010-11-22T00:00:00"/>
        <d v="2011-10-10T00:00:00"/>
        <d v="2011-08-23T00:00:00"/>
        <d v="2010-04-09T00:00:00"/>
        <d v="2012-08-17T00:00:00"/>
        <d v="2009-10-06T00:00:00"/>
        <d v="2010-05-01T00:00:00"/>
        <d v="2011-09-23T00:00:00"/>
        <d v="2011-06-08T00:00:00"/>
        <d v="2009-01-21T00:00:00"/>
        <d v="2010-02-20T00:00:00"/>
        <d v="2011-03-13T00:00:00"/>
        <d v="2010-09-22T00:00:00"/>
        <d v="2010-12-05T00:00:00"/>
        <d v="2010-03-20T00:00:00"/>
        <d v="2012-12-21T00:00:00"/>
        <d v="2012-12-10T00:00:00"/>
        <d v="2009-03-12T00:00:00"/>
        <d v="2012-05-20T00:00:00"/>
        <d v="2009-11-28T00:00:00"/>
        <d v="2010-10-23T00:00:00"/>
        <d v="2011-08-21T00:00:00"/>
        <d v="2011-12-15T00:00:00"/>
        <d v="2010-09-12T00:00:00"/>
        <d v="2011-04-05T00:00:00"/>
        <d v="2009-05-21T00:00:00"/>
        <d v="2012-09-17T00:00:00"/>
        <d v="2012-10-19T00:00:00"/>
        <d v="2011-10-13T00:00:00"/>
        <d v="2012-10-14T00:00:00"/>
        <d v="2012-11-01T00:00:00"/>
        <d v="2010-02-15T00:00:00"/>
        <d v="2012-09-18T00:00:00"/>
        <d v="2012-03-13T00:00:00"/>
        <d v="2010-09-23T00:00:00"/>
        <d v="2009-12-08T00:00:00"/>
        <d v="2009-02-02T00:00:00"/>
        <d v="2011-02-28T00:00:00"/>
        <d v="2010-12-15T00:00:00"/>
        <d v="2010-06-15T00:00:00"/>
        <d v="2012-07-09T00:00:00"/>
        <d v="2012-01-07T00:00:00"/>
        <d v="2009-10-07T00:00:00"/>
        <d v="2012-04-26T00:00:00"/>
        <d v="2012-04-17T00:00:00"/>
        <d v="2009-02-16T00:00:00"/>
        <d v="2010-08-18T00:00:00"/>
        <d v="2011-11-18T00:00:00"/>
        <d v="2010-10-25T00:00:00"/>
        <d v="2012-11-11T00:00:00"/>
        <d v="2012-01-02T00:00:00"/>
        <d v="2009-06-08T00:00:00"/>
        <d v="2012-11-19T00:00:00"/>
        <d v="2009-08-10T00:00:00"/>
        <d v="2012-07-28T00:00:00"/>
        <d v="2011-11-02T00:00:00"/>
        <d v="2012-10-11T00:00:00"/>
        <d v="2011-01-31T00:00:00"/>
        <d v="2011-03-08T00:00:00"/>
        <d v="2011-02-01T00:00:00"/>
        <d v="2012-09-29T00:00:00"/>
        <d v="2011-04-06T00:00:00"/>
        <d v="2012-05-01T00:00:00"/>
        <d v="2011-11-19T00:00:00"/>
        <d v="2011-05-15T00:00:00"/>
        <d v="2012-07-03T00:00:00"/>
        <d v="2009-05-15T00:00:00"/>
        <d v="2009-10-17T00:00:00"/>
        <d v="2009-07-06T00:00:00"/>
        <d v="2012-12-08T00:00:00"/>
        <d v="2010-08-23T00:00:00"/>
        <d v="2010-04-30T00:00:00"/>
        <d v="2011-01-29T00:00:00"/>
        <d v="2009-02-08T00:00:00"/>
        <d v="2010-10-09T00:00:00"/>
        <d v="2012-09-10T00:00:00"/>
        <d v="2012-10-28T00:00:00"/>
        <d v="2012-05-06T00:00:00"/>
      </sharedItems>
    </cacheField>
    <cacheField name="Order Priority" numFmtId="0">
      <sharedItems containsBlank="1" count="6">
        <s v="Not Specified"/>
        <s v="High"/>
        <s v="Critical"/>
        <s v="Low"/>
        <s v="Medium"/>
        <m/>
      </sharedItems>
    </cacheField>
    <cacheField name="Order Quantity" numFmtId="0">
      <sharedItems containsMixedTypes="1" containsNumber="1" containsInteger="1" minValue="1" maxValue="50" count="51">
        <n v="10"/>
        <n v="47"/>
        <n v="38"/>
        <n v="35"/>
        <n v="23"/>
        <n v="7"/>
        <n v="29"/>
        <n v="14"/>
        <n v="5"/>
        <n v="6"/>
        <n v="34"/>
        <n v="32"/>
        <n v="39"/>
        <n v="25"/>
        <n v="42"/>
        <n v="3"/>
        <n v="36"/>
        <n v="41"/>
        <n v="26"/>
        <n v="12"/>
        <n v="20"/>
        <n v="8"/>
        <n v="43"/>
        <n v="24"/>
        <n v="48"/>
        <n v="18"/>
        <n v="46"/>
        <n v="28"/>
        <n v="30"/>
        <n v="2"/>
        <n v="4"/>
        <n v="13"/>
        <n v="44"/>
        <n v="22"/>
        <n v="45"/>
        <n v="11"/>
        <n v="27"/>
        <n v="21"/>
        <n v="37"/>
        <n v="9"/>
        <n v="16"/>
        <n v="17"/>
        <n v="15"/>
        <n v="33"/>
        <n v="31"/>
        <n v="19"/>
        <n v="49"/>
        <n v="50"/>
        <n v="1"/>
        <n v="40"/>
        <s v="Teenager"/>
      </sharedItems>
    </cacheField>
    <cacheField name="Sales" numFmtId="0">
      <sharedItems containsBlank="1" containsMixedTypes="1" containsNumber="1" minValue="3.2" maxValue="29884.6" count="1095">
        <n v="1024.29"/>
        <n v="1348.57"/>
        <n v="1264.46"/>
        <n v="158.25"/>
        <n v="107.93"/>
        <n v="66.41"/>
        <n v="27.01"/>
        <n v="157.49"/>
        <n v="330.21"/>
        <n v="22.56"/>
        <n v="82.72"/>
        <n v="229.51"/>
        <n v="473"/>
        <n v="2178.431"/>
        <n v="1344.88"/>
        <n v="248.54"/>
        <n v="4253.6499999999996"/>
        <n v="62.88"/>
        <n v="6264.1854999999996"/>
        <n v="5410.95"/>
        <n v="6831.72"/>
        <n v="103.87"/>
        <n v="33.86"/>
        <n v="3553.62"/>
        <n v="92.02"/>
        <n v="1736.41"/>
        <n v="115.43"/>
        <n v="246.06"/>
        <n v="83.87"/>
        <n v="79.42"/>
        <n v="75.599999999999994"/>
        <n v="95.73"/>
        <n v="1225.4100000000001"/>
        <n v="370.72"/>
        <n v="6403.39"/>
        <n v="757.91"/>
        <n v="409.16"/>
        <n v="2508.3159999999998"/>
        <n v="1165.33"/>
        <n v="2325.42"/>
        <n v="2116.6999999999998"/>
        <n v="10.39"/>
        <n v="135.928"/>
        <n v="463.83"/>
        <n v="17248.09"/>
        <n v="168.31"/>
        <n v="4282.7249999999995"/>
        <n v="79.58"/>
        <n v="192.8"/>
        <n v="900.06"/>
        <n v="88.82"/>
        <n v="2392.23"/>
        <n v="216.08"/>
        <n v="339.03"/>
        <n v="1098.1490000000001"/>
        <n v="2039.39"/>
        <n v="2036.97"/>
        <n v="2629.6640000000002"/>
        <n v="394.62"/>
        <n v="464.64"/>
        <n v="96.68"/>
        <n v="155.47999999999999"/>
        <n v="56.77"/>
        <n v="63.91"/>
        <n v="27.32"/>
        <n v="643.30999999999995"/>
        <n v="188.23"/>
        <n v="541.95000000000005"/>
        <n v="448.23"/>
        <n v="748.83"/>
        <n v="40.85"/>
        <n v="53.14"/>
        <n v="127.84"/>
        <n v="11.15"/>
        <n v="235.49"/>
        <n v="8177.07"/>
        <n v="1187.864"/>
        <n v="11.08"/>
        <n v="141.91999999999999"/>
        <n v="337.34"/>
        <n v="475.9"/>
        <n v="3635.63"/>
        <n v="157.56"/>
        <n v="2026.05"/>
        <n v="37.700000000000003"/>
        <n v="1059.72"/>
        <n v="3491.71"/>
        <n v="485.16"/>
        <n v="112.72"/>
        <n v="150.34"/>
        <n v="2364.29"/>
        <n v="112.57"/>
        <n v="541.45000000000005"/>
        <n v="1556.55"/>
        <n v="647.80999999999995"/>
        <n v="168.9"/>
        <n v="145.86000000000001"/>
        <n v="1676.48"/>
        <n v="605.77"/>
        <n v="1480.91"/>
        <n v="3644.24"/>
        <n v="599.20749999999998"/>
        <n v="268.55"/>
        <n v="3632.6"/>
        <n v="1733.1"/>
        <n v="3448.6455000000001"/>
        <n v="1939.66"/>
        <n v="21.56"/>
        <n v="115.81"/>
        <n v="95.9"/>
        <n v="517.91"/>
        <n v="162.28"/>
        <n v="637.04"/>
        <n v="64.37"/>
        <n v="4588.55"/>
        <n v="596.21"/>
        <n v="2645.88"/>
        <n v="2144.924"/>
        <n v="65.89"/>
        <n v="9752.25"/>
        <n v="114.86"/>
        <n v="994.04"/>
        <n v="10223.19"/>
        <n v="312.42"/>
        <n v="262.54000000000002"/>
        <n v="190.73"/>
        <n v="1332.97"/>
        <n v="283.13"/>
        <n v="193.11"/>
        <n v="158.79"/>
        <n v="4620.05"/>
        <n v="3197.0029999999997"/>
        <n v="298.57"/>
        <n v="44.32"/>
        <n v="7312.0314999999991"/>
        <n v="102.18"/>
        <n v="3501.79"/>
        <n v="141.83000000000001"/>
        <n v="3503.12"/>
        <n v="54.23"/>
        <n v="152.26"/>
        <n v="2048.5679999999998"/>
        <n v="4442.049"/>
        <n v="1212.9280000000001"/>
        <n v="3081.33"/>
        <n v="1692.56"/>
        <n v="8038.08"/>
        <n v="2360.98"/>
        <n v="182.2"/>
        <n v="2494.69"/>
        <n v="159.41"/>
        <n v="1147.6400000000001"/>
        <n v="44.74"/>
        <n v="90.78"/>
        <n v="150.19999999999999"/>
        <n v="38.93"/>
        <n v="513.08000000000004"/>
        <n v="98.8"/>
        <n v="89.4"/>
        <n v="123.15"/>
        <n v="563.17999999999995"/>
        <n v="47.45"/>
        <n v="16.97"/>
        <n v="4077.7559999999994"/>
        <n v="445.34"/>
        <n v="660.99"/>
        <n v="282.61"/>
        <n v="4332.3"/>
        <n v="808.673"/>
        <n v="170.7"/>
        <n v="1839.4480000000001"/>
        <n v="1837.15"/>
        <n v="540.22"/>
        <n v="2035.3929999999998"/>
        <n v="192.41"/>
        <n v="4733.88"/>
        <n v="363.54"/>
        <n v="3378.18"/>
        <s v="James Leeland"/>
        <n v="525"/>
        <n v="279.77"/>
        <n v="154.21"/>
        <n v="460.43"/>
        <n v="970.47"/>
        <n v="1340.93"/>
        <n v="5287.16"/>
        <n v="386.71"/>
        <n v="134.06"/>
        <n v="7937.59"/>
        <n v="9396.41"/>
        <n v="13255.93"/>
        <n v="1068.7"/>
        <n v="157.94"/>
        <n v="3089.06"/>
        <n v="20265.22"/>
        <n v="1209.1680000000001"/>
        <n v="7640.2249999999995"/>
        <n v="24.36"/>
        <n v="126.74"/>
        <n v="48.41"/>
        <n v="4550.0600000000004"/>
        <n v="462.12"/>
        <n v="105.99"/>
        <n v="512.87"/>
        <n v="102.59"/>
        <n v="1695.65"/>
        <n v="7.01"/>
        <n v="1116.03"/>
        <n v="2305.75"/>
        <n v="80.45"/>
        <n v="149.51"/>
        <n v="322.73"/>
        <n v="7.96"/>
        <n v="1548.45"/>
        <n v="56.07"/>
        <n v="270.16000000000003"/>
        <n v="2694.01"/>
        <n v="56.13"/>
        <n v="1491.5205000000001"/>
        <n v="13253.93"/>
        <n v="1102.3"/>
        <n v="471.87"/>
        <n v="539.6"/>
        <n v="229.43"/>
        <n v="211.97"/>
        <n v="36.06"/>
        <n v="1849.8"/>
        <n v="67.489999999999995"/>
        <n v="6.76"/>
        <n v="2421.02"/>
        <n v="161.72"/>
        <n v="107.75"/>
        <n v="75.73"/>
        <n v="29.23"/>
        <n v="240.24"/>
        <n v="6742.49"/>
        <n v="5785.59"/>
        <n v="1131.93"/>
        <n v="3238.143"/>
        <n v="167.07"/>
        <n v="6116.11"/>
        <n v="8719.69"/>
        <n v="124.78"/>
        <n v="123.4"/>
        <n v="4043.29"/>
        <n v="870.48"/>
        <n v="6878.55"/>
        <n v="124.19"/>
        <n v="4976.6000000000004"/>
        <n v="5583.27"/>
        <n v="1756.5929999999998"/>
        <n v="5817.88"/>
        <n v="20.28"/>
        <n v="7235.83"/>
        <n v="280.39"/>
        <n v="400.49"/>
        <n v="538.14"/>
        <n v="4956.7839999999997"/>
        <n v="388.13"/>
        <n v="2339.84"/>
        <n v="145.15"/>
        <n v="131.5"/>
        <n v="7814.59"/>
        <n v="158.99"/>
        <n v="71.2"/>
        <n v="1351.78"/>
        <n v="1560.96"/>
        <n v="495.5"/>
        <n v="8225.24"/>
        <n v="1337.19"/>
        <n v="16.809999999999999"/>
        <n v="1194.3399999999999"/>
        <n v="51.832999999999998"/>
        <n v="797.98"/>
        <n v="1121.78"/>
        <n v="5404.18"/>
        <n v="430.19"/>
        <n v="3259.25"/>
        <n v="6803"/>
        <n v="238.76"/>
        <n v="140.37"/>
        <n v="5921.74"/>
        <n v="68.16"/>
        <n v="105.13"/>
        <n v="10168.23"/>
        <n v="176.77"/>
        <n v="6568.0240000000013"/>
        <n v="1579.028"/>
        <n v="336.65"/>
        <n v="8048.45"/>
        <n v="23949.51"/>
        <n v="17.43"/>
        <n v="2976.19"/>
        <n v="498.68"/>
        <n v="5208.78"/>
        <n v="28.46"/>
        <n v="23.44"/>
        <n v="31.118499999999997"/>
        <n v="4829.4534999999996"/>
        <n v="136.1"/>
        <n v="297.85000000000002"/>
        <n v="1296.46"/>
        <n v="101.77"/>
        <n v="104.7"/>
        <n v="284.45249999999999"/>
        <n v="247.34"/>
        <n v="305.48"/>
        <n v="2029.4960000000001"/>
        <n v="122.74"/>
        <n v="105.94"/>
        <n v="630.14"/>
        <n v="2813.8484999999996"/>
        <n v="1624.5964999999999"/>
        <n v="381.36"/>
        <n v="11.89"/>
        <n v="269.3"/>
        <n v="883.31"/>
        <n v="364.4"/>
        <n v="3585.91"/>
        <n v="545.38"/>
        <n v="3713.0124999999998"/>
        <n v="1444"/>
        <n v="676.69"/>
        <n v="13698.96"/>
        <n v="925.43"/>
        <n v="321.63"/>
        <n v="278.07"/>
        <n v="328.62700000000001"/>
        <n v="6733.52"/>
        <n v="377.83"/>
        <n v="7725.66"/>
        <n v="52.43"/>
        <n v="254.51"/>
        <n v="268.58"/>
        <n v="1280.6500000000001"/>
        <n v="231.65"/>
        <n v="198.44"/>
        <n v="296.94"/>
        <n v="729.75"/>
        <n v="1417.21"/>
        <n v="1154.9375"/>
        <n v="109.9"/>
        <n v="646.14"/>
        <n v="343.94"/>
        <n v="12685.544000000002"/>
        <n v="246.63"/>
        <n v="94.52"/>
        <n v="106.69"/>
        <n v="6126.93"/>
        <n v="9172.32"/>
        <n v="128.97"/>
        <n v="238.77"/>
        <n v="257.33999999999997"/>
        <n v="107.41"/>
        <n v="163.41"/>
        <n v="507.66"/>
        <n v="3212.97"/>
        <n v="292.95"/>
        <n v="49.18"/>
        <n v="659.5"/>
        <n v="413.37"/>
        <n v="1721.6410000000001"/>
        <n v="59.35"/>
        <n v="1500.84"/>
        <n v="98.64"/>
        <n v="11.16"/>
        <n v="156.19999999999999"/>
        <n v="99.1"/>
        <n v="380.34"/>
        <n v="325.33"/>
        <n v="6449.0560000000005"/>
        <n v="45.21"/>
        <n v="2175.2199999999998"/>
        <n v="32.770000000000003"/>
        <n v="1701.53"/>
        <n v="64.790000000000006"/>
        <n v="4324.29"/>
        <n v="234.24"/>
        <n v="4357.1170000000002"/>
        <n v="1298.29"/>
        <n v="19.34"/>
        <n v="590.32000000000005"/>
        <n v="4245.93"/>
        <n v="1463.42"/>
        <n v="1025.8800000000001"/>
        <n v="43.49"/>
        <n v="2854.76"/>
        <n v="114.87"/>
        <n v="383.23"/>
        <n v="68.5"/>
        <n v="145.19"/>
        <n v="506.73"/>
        <n v="129.27000000000001"/>
        <n v="8467.68"/>
        <n v="183.22"/>
        <n v="68.03"/>
        <n v="1638.67"/>
        <n v="64.099999999999994"/>
        <n v="29884.6"/>
        <n v="4846.74"/>
        <n v="2548.3000000000002"/>
        <n v="5979.84"/>
        <n v="175.76"/>
        <n v="420.76"/>
        <n v="1676.46"/>
        <n v="145.66"/>
        <n v="203.35"/>
        <n v="44.52"/>
        <n v="58.9"/>
        <n v="602.42049999999995"/>
        <n v="1776.96"/>
        <n v="3642.14"/>
        <n v="2982.5"/>
        <n v="59.62"/>
        <n v="57.73"/>
        <n v="56.26"/>
        <n v="1961.7914999999998"/>
        <n v="6168.07"/>
        <n v="1521.1344999999999"/>
        <n v="89.04"/>
        <n v="297.33999999999997"/>
        <n v="1264.1300000000001"/>
        <n v="840.55200000000013"/>
        <n v="142.59"/>
        <n v="849.33699999999999"/>
        <n v="140.77000000000001"/>
        <n v="848.19"/>
        <n v="562.15"/>
        <n v="746.93"/>
        <n v="313.39999999999998"/>
        <n v="208.77"/>
        <n v="28.55"/>
        <n v="324.52"/>
        <n v="1770.7"/>
        <n v="628.33000000000004"/>
        <n v="141.19999999999999"/>
        <n v="83.02"/>
        <n v="6176.29"/>
        <n v="493.43"/>
        <n v="2218.8910000000001"/>
        <n v="39.01"/>
        <n v="4768.59"/>
        <n v="117.77"/>
        <n v="179.98"/>
        <n v="55.44"/>
        <n v="174.62"/>
        <n v="999.89"/>
        <n v="35.69"/>
        <n v="532.89"/>
        <n v="60.69"/>
        <n v="16116.33"/>
        <n v="5482.18"/>
        <n v="45.57"/>
        <n v="473.46"/>
        <n v="88.23"/>
        <n v="29.19"/>
        <n v="2007.24"/>
        <n v="384.41"/>
        <n v="1239.06"/>
        <n v="4083.19"/>
        <n v="4902.38"/>
        <n v="19.96"/>
        <n v="148.99"/>
        <n v="70.66"/>
        <n v="478.27"/>
        <n v="977.92"/>
        <n v="229.26"/>
        <n v="754.94"/>
        <n v="1011.9"/>
        <n v="1279.25"/>
        <n v="12570.74"/>
        <n v="230.29"/>
        <n v="1394.28"/>
        <n v="6862.2370000000001"/>
        <n v="418.03"/>
        <n v="336.86"/>
        <n v="2693.5140000000001"/>
        <n v="391.9"/>
        <n v="1451.59"/>
        <n v="1283.68"/>
        <n v="169.46"/>
        <n v="1351.653"/>
        <n v="63"/>
        <n v="856.15"/>
        <n v="2026.42"/>
        <n v="3413.4555"/>
        <n v="294.13"/>
        <n v="125.41"/>
        <n v="3170.52"/>
        <n v="2488.4769999999999"/>
        <n v="378.84"/>
        <n v="200.38"/>
        <n v="128.52000000000001"/>
        <n v="6717.7839999999997"/>
        <n v="59.08"/>
        <n v="886.36299999999994"/>
        <n v="222.25"/>
        <n v="388.71350000000001"/>
        <n v="1233.22"/>
        <n v="144.82"/>
        <n v="6310.69"/>
        <n v="3702.92"/>
        <n v="53.99"/>
        <n v="3854.4"/>
        <n v="346.2"/>
        <n v="85.96"/>
        <n v="475.52"/>
        <n v="92.94"/>
        <n v="6070.96"/>
        <n v="41.85"/>
        <n v="2303.7125000000001"/>
        <n v="283.82"/>
        <n v="3441.09"/>
        <n v="209.61"/>
        <n v="1979.47"/>
        <n v="187.8"/>
        <n v="2823.0369999999998"/>
        <n v="94.55"/>
        <n v="45.31"/>
        <n v="36.46"/>
        <n v="1909.0064999999997"/>
        <n v="3412.08"/>
        <n v="1311.68"/>
        <n v="238.88"/>
        <n v="1235.29"/>
        <n v="1928.3269999999998"/>
        <n v="57.15"/>
        <n v="44.25"/>
        <n v="1940.32"/>
        <n v="2447.65"/>
        <n v="1069.6400000000001"/>
        <n v="1143.4285"/>
        <n v="233.2"/>
        <n v="245.53"/>
        <n v="904.12"/>
        <n v="7667.78"/>
        <n v="1305.8499999999999"/>
        <n v="2130.31"/>
        <n v="3668.28"/>
        <n v="1849.6"/>
        <n v="197.1"/>
        <n v="199.48"/>
        <n v="635.59"/>
        <n v="1251.4000000000001"/>
        <n v="3577.81"/>
        <n v="1009.8679999999999"/>
        <n v="31.36"/>
        <n v="64.23"/>
        <n v="119.51"/>
        <n v="332.38"/>
        <n v="202.42"/>
        <n v="137.63"/>
        <n v="614.79999999999995"/>
        <n v="11823.52"/>
        <n v="80.81"/>
        <n v="181.15"/>
        <n v="13064.06"/>
        <n v="4771.8900000000003"/>
        <n v="3360.3"/>
        <n v="306.66299999999995"/>
        <n v="21320.58"/>
        <n v="32.5"/>
        <n v="11.25"/>
        <n v="127.51"/>
        <n v="2004.22"/>
        <n v="125.79"/>
        <n v="14591.44"/>
        <n v="375.52"/>
        <n v="63.84"/>
        <n v="3327.84"/>
        <n v="1141.9000000000001"/>
        <n v="1912.9845"/>
        <n v="4170.8649999999998"/>
        <n v="3427.31"/>
        <n v="36.26"/>
        <n v="893.13750000000005"/>
        <n v="269.2"/>
        <n v="87.33"/>
        <n v="1494.27"/>
        <n v="473.03"/>
        <n v="126.68"/>
        <n v="1711.79"/>
        <n v="793.85"/>
        <n v="203.91"/>
        <n v="38.369999999999997"/>
        <n v="46.94"/>
        <n v="89.96"/>
        <n v="12.95"/>
        <n v="930.84"/>
        <n v="57.22"/>
        <n v="162"/>
        <n v="3410.1574999999998"/>
        <n v="1676.25"/>
        <n v="29.99"/>
        <n v="373.13"/>
        <n v="99.55"/>
        <n v="8230.77"/>
        <n v="80.56"/>
        <n v="20701.928"/>
        <n v="20.190000000000001"/>
        <n v="74.989999999999995"/>
        <n v="81.97"/>
        <n v="1756.27"/>
        <n v="345.58"/>
        <n v="273.36"/>
        <n v="3240.7280000000001"/>
        <n v="8058.96"/>
        <n v="172.54"/>
        <n v="5290.57"/>
        <n v="7685.62"/>
        <n v="2277.67"/>
        <n v="3308.28"/>
        <n v="370.6"/>
        <n v="4072.01"/>
        <n v="41.37"/>
        <n v="71.22"/>
        <n v="863.26"/>
        <n v="238.79"/>
        <n v="148.26"/>
        <n v="66.83"/>
        <n v="255.7"/>
        <n v="47.12"/>
        <n v="4480.8900000000003"/>
        <n v="2651.21"/>
        <n v="106.2"/>
        <n v="411.75"/>
        <n v="3.41"/>
        <n v="122.99"/>
        <n v="14734.71"/>
        <n v="264.92"/>
        <n v="194.2"/>
        <n v="16451.330000000002"/>
        <n v="485.97"/>
        <n v="109.71"/>
        <n v="391.12"/>
        <n v="448.1"/>
        <n v="34.090000000000003"/>
        <n v="5144.8715000000002"/>
        <n v="783.48"/>
        <n v="4394.78"/>
        <n v="1501.8"/>
        <n v="4846.68"/>
        <n v="32.69"/>
        <n v="38.880000000000003"/>
        <n v="286.26"/>
        <n v="196.98"/>
        <n v="1756.6949999999999"/>
        <n v="1884.2080000000003"/>
        <n v="93.338499999999996"/>
        <n v="3.85"/>
        <n v="547.00049999999999"/>
        <n v="2379.15"/>
        <n v="1734.4"/>
        <n v="1128.03"/>
        <n v="6767.43"/>
        <n v="367.09"/>
        <n v="139.66"/>
        <n v="509.49"/>
        <n v="739.07"/>
        <n v="38.58"/>
        <n v="25.07"/>
        <n v="181.95"/>
        <n v="287.43"/>
        <n v="238.06"/>
        <n v="103.92"/>
        <n v="136.16"/>
        <n v="5062.18"/>
        <n v="913.99"/>
        <n v="321.20999999999998"/>
        <n v="952.21"/>
        <n v="436.67"/>
        <n v="146.72"/>
        <n v="74.83"/>
        <n v="124.71"/>
        <n v="1553.8679999999999"/>
        <n v="43.65"/>
        <n v="2478.4810000000002"/>
        <n v="1427.14"/>
        <n v="419.95"/>
        <n v="344.25"/>
        <n v="64.77"/>
        <n v="292.38"/>
        <n v="191.79"/>
        <n v="290.01"/>
        <n v="4692.26"/>
        <m/>
        <n v="57.82"/>
        <n v="544.89"/>
        <n v="122.09"/>
        <n v="150.06"/>
        <n v="95.09"/>
        <n v="995.72400000000005"/>
        <n v="102.99"/>
        <n v="1429.088"/>
        <n v="41.87"/>
        <n v="34.29"/>
        <n v="23516.31"/>
        <n v="78.2"/>
        <n v="1947.4265"/>
        <n v="842.19"/>
        <n v="2052.83"/>
        <n v="620.45000000000005"/>
        <n v="167.5"/>
        <n v="79.06"/>
        <n v="140.63"/>
        <n v="4872.6675000000005"/>
        <n v="515.23"/>
        <n v="41.65"/>
        <n v="178.92"/>
        <n v="1351.43"/>
        <n v="357.91"/>
        <n v="351.12"/>
        <n v="1803.12"/>
        <n v="110.14"/>
        <n v="453.89"/>
        <n v="275.11"/>
        <n v="102.34"/>
        <n v="934.94050000000004"/>
        <n v="21.55"/>
        <n v="266.16000000000003"/>
        <n v="39.49"/>
        <n v="1317.34"/>
        <n v="320.57"/>
        <n v="2013.8"/>
        <n v="2168.0500000000002"/>
        <n v="303.07"/>
        <n v="1661.8"/>
        <n v="2020.58"/>
        <n v="1533.46"/>
        <n v="5989.0480000000007"/>
        <n v="69.260000000000005"/>
        <n v="2896.99"/>
        <n v="250.29"/>
        <n v="251.59"/>
        <n v="158.91"/>
        <n v="171.57"/>
        <n v="2170.3049999999998"/>
        <n v="224.34"/>
        <n v="262.13"/>
        <n v="173.12"/>
        <n v="9261.24"/>
        <n v="28.98"/>
        <n v="51.56"/>
        <n v="437.77"/>
        <n v="514.86"/>
        <n v="356.27"/>
        <n v="4509.3774999999996"/>
        <n v="1813.04"/>
        <n v="4530.96"/>
        <n v="3116.47"/>
        <n v="12.41"/>
        <n v="1324.09"/>
        <n v="278.68"/>
        <n v="717.46799999999996"/>
        <n v="11764.25"/>
        <n v="25.17"/>
        <n v="208.47"/>
        <n v="45.91"/>
        <n v="22319.58"/>
        <n v="330.24"/>
        <n v="520.65"/>
        <n v="181.17"/>
        <n v="13.16"/>
        <n v="107.88"/>
        <n v="623.02"/>
        <n v="729.83"/>
        <n v="1083.19"/>
        <n v="255.74"/>
        <n v="2592.4319999999998"/>
        <n v="313.43"/>
        <n v="390.11"/>
        <n v="342.97"/>
        <n v="9.4"/>
        <n v="786.67499999999995"/>
        <n v="212.57"/>
        <n v="1469.48"/>
        <n v="4279.24"/>
        <n v="2665.64"/>
        <n v="10307.01"/>
        <n v="44.45"/>
        <n v="46.36"/>
        <n v="29.79"/>
        <n v="19100.45"/>
        <n v="371.95"/>
        <n v="4080.3"/>
        <n v="260.79000000000002"/>
        <n v="90.35"/>
        <n v="316.52"/>
        <n v="155.38999999999999"/>
        <n v="135.22999999999999"/>
        <n v="14357.85"/>
        <n v="710.86"/>
        <n v="114.53"/>
        <n v="7164.7435000000005"/>
        <n v="1400.1"/>
        <n v="1325.06"/>
        <n v="101.13"/>
        <n v="526.45000000000005"/>
        <n v="8581.25"/>
        <n v="135.99"/>
        <n v="43.23"/>
        <n v="3353.54"/>
        <n v="69.38"/>
        <n v="78.510000000000005"/>
        <n v="101.47"/>
        <n v="130.49"/>
        <n v="861.41"/>
        <n v="361.98"/>
        <n v="965.82"/>
        <n v="349.65"/>
        <n v="4814.12"/>
        <n v="359.65"/>
        <n v="246.24"/>
        <n v="78.67"/>
        <n v="4416.6509999999998"/>
        <n v="1204.0844999999999"/>
        <n v="181.39"/>
        <n v="846.08150000000001"/>
        <n v="187.84"/>
        <n v="240.6"/>
        <n v="236.87799999999999"/>
        <n v="9312.52"/>
        <n v="220.47"/>
        <n v="7928.561999999999"/>
        <n v="715.8"/>
        <n v="10941.23"/>
        <n v="3749"/>
        <n v="878.75"/>
        <n v="877.81"/>
        <n v="90.941499999999991"/>
        <n v="453.87"/>
        <n v="2232.15"/>
        <n v="7007.19"/>
        <n v="460.58949999999999"/>
        <n v="813.41"/>
        <n v="4153.0600000000004"/>
        <n v="157.63"/>
        <n v="225.45"/>
        <n v="2827.1424999999999"/>
        <n v="215.52"/>
        <n v="10.46"/>
        <n v="3982.21"/>
        <n v="66.55"/>
        <n v="167.53"/>
        <n v="6995.56"/>
        <n v="1415.1480000000001"/>
        <n v="6041.01"/>
        <n v="1234.3599999999999"/>
        <n v="10380.34"/>
        <n v="854.9"/>
        <n v="389.98"/>
        <n v="109.29"/>
        <n v="2257.88"/>
        <n v="348.92"/>
        <n v="72.180000000000007"/>
        <n v="172.04"/>
        <n v="737.38"/>
        <n v="507.18"/>
        <n v="151.19"/>
        <n v="2180.23"/>
        <n v="123.75"/>
        <n v="3533.97"/>
        <n v="3821.4045000000001"/>
        <n v="1651.07"/>
        <n v="326.10000000000002"/>
        <n v="170.374"/>
        <n v="2595.0700000000002"/>
        <n v="801.98"/>
        <n v="65.78"/>
        <n v="10.48"/>
        <n v="323.63"/>
        <n v="10134.549999999999"/>
        <n v="1765.64"/>
        <n v="156.5"/>
        <n v="157.51"/>
        <n v="97.78"/>
        <n v="1199.336"/>
        <n v="1152.1600000000001"/>
        <n v="19.899999999999999"/>
        <n v="4072.8175000000001"/>
        <n v="1438.33"/>
        <n v="625.94849999999997"/>
        <n v="12.49"/>
        <n v="1653.607"/>
        <n v="248.76"/>
        <n v="10984.05"/>
        <n v="2447.1074999999996"/>
        <n v="26.64"/>
        <n v="88.19"/>
        <n v="318.27999999999997"/>
        <n v="289.52999999999997"/>
        <n v="322.8"/>
        <n v="649.46"/>
        <n v="200.41"/>
        <n v="708.83"/>
        <n v="1635.29"/>
        <n v="316.35000000000002"/>
        <n v="194.09"/>
        <n v="227.5"/>
        <n v="2292.1015000000002"/>
        <n v="206.34"/>
        <n v="13.52"/>
        <n v="20.25"/>
        <n v="52.62"/>
        <n v="214.19"/>
        <n v="198.29"/>
        <n v="6034.68"/>
        <n v="228.31"/>
        <n v="98.46"/>
        <n v="569.63599999999997"/>
        <n v="314.95999999999998"/>
        <n v="120.15"/>
        <n v="1058.82"/>
        <n v="92.07"/>
        <n v="1811.55"/>
        <n v="49.08"/>
        <n v="236.19"/>
        <n v="854.14"/>
        <n v="159.5"/>
        <n v="33.44"/>
        <n v="6776.92"/>
        <n v="1640.9"/>
        <n v="1235.8699999999999"/>
        <n v="46.34"/>
        <n v="2415.38"/>
        <n v="231.26"/>
        <n v="987.17"/>
        <n v="10094.43"/>
        <n v="179.45"/>
        <n v="7987.43"/>
        <n v="2455.2759999999998"/>
        <n v="2443.3420000000001"/>
        <n v="112.12"/>
        <n v="49.58"/>
        <n v="1939.65"/>
        <n v="465.52"/>
        <n v="19.47"/>
        <n v="28.96"/>
        <n v="1133.96"/>
        <n v="2422.4404999999997"/>
        <n v="1954.796"/>
        <n v="2312.96"/>
        <n v="538.27"/>
        <n v="3665.41"/>
        <n v="20.95"/>
        <n v="286.81"/>
        <n v="1233.4775"/>
        <n v="214.03"/>
        <n v="941.4"/>
        <n v="109.43"/>
        <n v="158.78"/>
        <n v="249.48"/>
        <n v="6572.04"/>
        <n v="1051.992"/>
        <n v="2711.14"/>
        <n v="1829.8715"/>
        <n v="231.21"/>
        <n v="28.75"/>
        <n v="19014.240000000002"/>
        <n v="385.05"/>
        <n v="46.44"/>
        <n v="4252.8900000000003"/>
        <n v="5740.32"/>
        <n v="548.29999999999995"/>
        <n v="946.27"/>
        <n v="396.78"/>
        <n v="769.17"/>
        <n v="7370.84"/>
        <n v="388.71"/>
        <n v="1515"/>
        <n v="3413.69"/>
        <n v="2939.6824999999999"/>
        <n v="1103.73"/>
        <n v="86.1"/>
        <n v="298.11"/>
        <n v="87.21"/>
        <n v="50.19"/>
        <n v="762.2"/>
        <n v="235.45"/>
        <n v="132.79"/>
        <n v="232.85"/>
        <n v="893.29"/>
        <n v="6483.26"/>
        <n v="1446.2070000000001"/>
        <n v="2048.7800000000002"/>
        <n v="104.33"/>
        <n v="3390.51"/>
        <n v="44.85"/>
        <n v="1581.23"/>
        <n v="19.2"/>
        <n v="6481.0480000000007"/>
        <n v="5526.16"/>
        <n v="236.89"/>
        <n v="68.42"/>
        <n v="4408.6695"/>
        <n v="146.68"/>
        <n v="577.89"/>
        <n v="9920.85"/>
        <n v="7484.31"/>
        <n v="733.36"/>
        <n v="198.1"/>
        <n v="91.43"/>
        <n v="704.77"/>
        <n v="1101.76"/>
        <n v="215.24"/>
        <n v="654.87400000000002"/>
        <n v="5875.66"/>
        <n v="570.14"/>
        <n v="825.63"/>
        <n v="180.39"/>
        <n v="102.04"/>
        <n v="1617.88"/>
        <n v="3969.43"/>
        <n v="2882.7069999999999"/>
        <n v="356.28"/>
        <n v="54.22"/>
        <n v="431.11"/>
        <n v="3231.5639999999999"/>
        <n v="6230.68"/>
        <n v="1391.816"/>
        <n v="1323.31"/>
        <n v="7325.63"/>
        <n v="3439.39"/>
        <n v="109.52"/>
        <n v="210.94"/>
        <n v="192.02"/>
        <n v="2650.77"/>
        <n v="1134.2"/>
        <n v="1900.47"/>
        <n v="205.52"/>
        <n v="545.88"/>
        <n v="4042.96"/>
        <n v="1262.75"/>
        <n v="243.37"/>
        <n v="730.33"/>
        <n v="54.79"/>
        <n v="7319.85"/>
        <n v="707.44"/>
        <n v="1146.4100000000001"/>
        <n v="80.290000000000006"/>
        <n v="2628.9224999999997"/>
        <n v="139"/>
        <n v="430.13"/>
        <n v="4917.6899999999996"/>
        <n v="416.8"/>
        <n v="2101.59"/>
        <n v="251.51"/>
        <n v="3.2"/>
        <n v="424.13"/>
        <n v="69.400000000000006"/>
        <n v="10692.97"/>
        <n v="1637.78"/>
        <n v="193.84"/>
        <n v="1463.105"/>
        <n v="1085.4000000000001"/>
        <n v="123.67"/>
        <n v="355.55"/>
        <n v="44.99"/>
        <n v="166.17"/>
        <n v="1286.8699999999999"/>
        <n v="202.11"/>
        <n v="630.99"/>
        <n v="103.5"/>
        <n v="19707.2"/>
        <n v="135.77000000000001"/>
        <n v="447.25"/>
        <n v="1387.29"/>
        <n v="167.66"/>
        <n v="1424.95"/>
        <n v="321.5"/>
        <n v="827.83"/>
        <n v="101.14"/>
        <n v="139.08000000000001"/>
        <n v="75.28"/>
        <n v="517.98"/>
        <n v="4680.8900000000003"/>
        <n v="2414.9944999999998"/>
        <n v="883.23"/>
        <n v="917.25"/>
        <n v="760.80099999999993"/>
        <n v="849.51"/>
        <n v="189.49"/>
        <n v="714.46"/>
        <n v="434.73"/>
        <n v="81.56"/>
        <n v="2088.5"/>
        <n v="2126.7199999999998"/>
        <n v="3753.72"/>
        <n v="26.09"/>
        <n v="1406.49"/>
        <n v="587.71"/>
        <n v="650.1395"/>
        <n v="572.74"/>
        <n v="446.06"/>
        <n v="744"/>
      </sharedItems>
    </cacheField>
    <cacheField name="Discount" numFmtId="0">
      <sharedItems containsSemiMixedTypes="0" containsString="0" containsNumber="1" minValue="0" maxValue="0.1" count="11">
        <n v="7.0000000000000007E-2"/>
        <n v="0.08"/>
        <n v="0"/>
        <n v="0.09"/>
        <n v="0.05"/>
        <n v="0.04"/>
        <n v="0.01"/>
        <n v="0.06"/>
        <n v="0.1"/>
        <n v="0.02"/>
        <n v="0.03"/>
      </sharedItems>
    </cacheField>
    <cacheField name="Ship Mode" numFmtId="0">
      <sharedItems count="3">
        <s v="Regular Air"/>
        <s v="Delivery Truck"/>
        <s v="Express Air"/>
      </sharedItems>
    </cacheField>
    <cacheField name="Profit" numFmtId="0">
      <sharedItems containsSemiMixedTypes="0" containsString="0" containsNumber="1" minValue="-12557.997599999999" maxValue="12748.86" count="1108">
        <n v="-95.52"/>
        <n v="19.57"/>
        <n v="-1249.3900000000001"/>
        <n v="-114.7355"/>
        <n v="-68.137500000000003"/>
        <n v="-32.35"/>
        <n v="-1.2994999999999999"/>
        <n v="-58.25"/>
        <n v="83.24"/>
        <n v="-25.564499999999999"/>
        <n v="-29.71"/>
        <n v="-189.33"/>
        <n v="-185.8"/>
        <n v="396.97199999999998"/>
        <n v="-13.77"/>
        <n v="111.75"/>
        <n v="943"/>
        <n v="-24.74"/>
        <n v="1312.038"/>
        <n v="2077.91"/>
        <n v="3081.02"/>
        <n v="15.42"/>
        <n v="0.35000000000000053"/>
        <n v="521.69000000000005"/>
        <n v="-47.36"/>
        <n v="-762.44"/>
        <n v="11.41"/>
        <n v="20.67"/>
        <n v="-28.83"/>
        <n v="-15.456"/>
        <n v="17.14"/>
        <n v="-151.15"/>
        <n v="-138.02000000000001"/>
        <n v="-156.76"/>
        <n v="-824.15"/>
        <n v="-16.05"/>
        <n v="21.96"/>
        <n v="456.81299999999999"/>
        <n v="154.85"/>
        <n v="739.91"/>
        <n v="488.81800000000004"/>
        <n v="-7.97"/>
        <n v="-126.47"/>
        <n v="103.26"/>
        <n v="2048.63"/>
        <n v="46.49"/>
        <n v="1371.7440000000001"/>
        <n v="-38.28"/>
        <n v="31"/>
        <n v="-221.12"/>
        <n v="38.35"/>
        <n v="1216.74"/>
        <n v="-84.33"/>
        <n v="-24.44"/>
        <n v="-182.97399999999999"/>
        <n v="199.73"/>
        <n v="-2397.44"/>
        <n v="27.74"/>
        <n v="-31.39"/>
        <n v="14.48"/>
        <n v="22.25"/>
        <n v="-6.64"/>
        <n v="-3.2"/>
        <n v="-27.78"/>
        <n v="-5.87"/>
        <n v="-231.34"/>
        <n v="-145.1"/>
        <n v="143.04"/>
        <n v="110.6"/>
        <n v="250.01"/>
        <n v="6.46"/>
        <n v="14.57"/>
        <n v="12.69"/>
        <n v="-2.62"/>
        <n v="21.78"/>
        <n v="2385.3000000000002"/>
        <n v="-347.16"/>
        <n v="-8.93"/>
        <n v="12.2"/>
        <n v="-69.84"/>
        <n v="-5.1799999999999926"/>
        <n v="104.48"/>
        <n v="-139.35"/>
        <n v="-357.65"/>
        <n v="-81.08"/>
        <n v="112.22"/>
        <n v="-1216.6400000000001"/>
        <n v="-9.3199999999999932"/>
        <n v="39.19"/>
        <n v="-28.45"/>
        <n v="-220.04910000000001"/>
        <n v="13.92"/>
        <n v="-164.25"/>
        <n v="436.02"/>
        <n v="8.6500000000000057"/>
        <n v="-16.1907"/>
        <n v="-92.32"/>
        <n v="590.35"/>
        <n v="129.33000000000001"/>
        <n v="489.14"/>
        <n v="-457.73"/>
        <n v="-268.66399999999999"/>
        <n v="-99.02"/>
        <n v="-400.33"/>
        <n v="-505.69"/>
        <n v="900.41399999999999"/>
        <n v="540.66999999999996"/>
        <n v="2.75"/>
        <n v="-1.49"/>
        <n v="107.11"/>
        <n v="-216.154"/>
        <n v="-26.83"/>
        <n v="-6.9574999999999996"/>
        <n v="-266.62400000000002"/>
        <n v="211.59"/>
        <n v="-1231.98"/>
        <n v="542.25"/>
        <n v="20.6"/>
        <n v="3066.17"/>
        <n v="16.21"/>
        <n v="-335.06"/>
        <n v="2723.31"/>
        <n v="-90.42"/>
        <n v="29.24"/>
        <n v="-69.643500000000003"/>
        <n v="4.7520000000000007"/>
        <n v="-141.26"/>
        <n v="-263.76400000000001"/>
        <n v="1.1560000000000001"/>
        <n v="-229.68"/>
        <n v="603.45899999999995"/>
        <n v="74.069999999999993"/>
        <n v="-41.55"/>
        <n v="2031.5070000000001"/>
        <n v="-65.67"/>
        <n v="-7838.3346000000001"/>
        <n v="-35.69"/>
        <n v="-168.14"/>
        <n v="-16.46"/>
        <n v="64.989999999999995"/>
        <n v="-259.98500000000001"/>
        <n v="720.95399999999995"/>
        <n v="-1460.77"/>
        <n v="-1341.11"/>
        <n v="275.5"/>
        <n v="2821.4050000000002"/>
        <n v="611.92999999999995"/>
        <n v="82.21"/>
        <n v="-937.06"/>
        <n v="34.68"/>
        <n v="261.87"/>
        <n v="-20.102"/>
        <n v="-71.840499999999992"/>
        <n v="12.97"/>
        <n v="-102.432"/>
        <n v="198.9425"/>
        <n v="-62"/>
        <n v="22.22"/>
        <n v="22.98"/>
        <n v="67.98"/>
        <n v="1.071"/>
        <n v="-8.8000000000000007"/>
        <n v="1086.9570000000001"/>
        <n v="-377.90190000000001"/>
        <n v="267.67"/>
        <n v="-106.36"/>
        <n v="2066.12"/>
        <n v="-10.67"/>
        <n v="-37.880000000000003"/>
        <n v="-742.88"/>
        <n v="196.58"/>
        <n v="-253.38"/>
        <n v="1152.693"/>
        <n v="-55.947499999999998"/>
        <n v="239.41"/>
        <n v="4.75"/>
        <n v="-1352.68"/>
        <n v="156.114"/>
        <n v="63.5"/>
        <n v="-14.02"/>
        <n v="-160.38999999999999"/>
        <n v="-76.180000000000007"/>
        <n v="192.38"/>
        <n v="154.16"/>
        <n v="-769.05"/>
        <n v="-84.12"/>
        <n v="5.98"/>
        <n v="1383.24"/>
        <n v="-4991.4249"/>
        <n v="4089.27"/>
        <n v="-89.5"/>
        <n v="9.15"/>
        <n v="719.26"/>
        <n v="6168.64"/>
        <n v="-1052.79"/>
        <n v="2027.682"/>
        <n v="-13.01"/>
        <n v="-18.53"/>
        <n v="-1.46"/>
        <n v="-1335.32"/>
        <n v="226.4"/>
        <n v="43.37"/>
        <n v="170.69"/>
        <n v="8.8800000000000008"/>
        <n v="51.98"/>
        <n v="-4.2"/>
        <n v="203.44"/>
        <n v="-530.67999999999995"/>
        <n v="-60.961500000000001"/>
        <n v="-31.11"/>
        <n v="101.83"/>
        <n v="-0.10999999999999943"/>
        <n v="-224.2"/>
        <n v="10.49"/>
        <n v="16.920000000000002"/>
        <n v="994.31"/>
        <n v="48.85"/>
        <n v="286.36200000000002"/>
        <n v="-1596.7457999999999"/>
        <n v="98.12"/>
        <n v="52.27"/>
        <n v="-6.5"/>
        <n v="-127.05200000000001"/>
        <n v="-46.83"/>
        <n v="-18.5"/>
        <n v="530.22"/>
        <n v="-22.82"/>
        <n v="-4.28"/>
        <n v="-1943.1711000000003"/>
        <n v="-134.71100000000001"/>
        <n v="24.17"/>
        <n v="-37.76"/>
        <n v="8.1"/>
        <n v="-84.93"/>
        <n v="-502.05"/>
        <n v="-24.88"/>
        <n v="-423.77"/>
        <n v="469.69"/>
        <n v="727.36199999999997"/>
        <n v="-102.36"/>
        <n v="91.57"/>
        <n v="2241.71"/>
        <n v="-122.6705"/>
        <n v="30.5"/>
        <n v="-34.304099999999998"/>
        <n v="104.37"/>
        <n v="506.71"/>
        <n v="-53.296199999999999"/>
        <n v="601.88"/>
        <n v="1539.59"/>
        <n v="298.20599999999996"/>
        <n v="-567.14"/>
        <n v="-4.32"/>
        <n v="3496.37"/>
        <n v="9.33"/>
        <n v="-237.89"/>
        <n v="111.42"/>
        <n v="-296.06"/>
        <n v="40.11"/>
        <n v="-1730.3"/>
        <n v="-169.16499999999999"/>
        <n v="105.9"/>
        <n v="3408.46"/>
        <n v="-197.13"/>
        <n v="1.87"/>
        <n v="109.92"/>
        <n v="-120.27"/>
        <n v="-12.67"/>
        <n v="1909.03"/>
        <n v="-431.45"/>
        <n v="-4.1399999999999997"/>
        <n v="497.11400000000003"/>
        <n v="-235.89500000000001"/>
        <n v="237.47400000000002"/>
        <n v="-454.8"/>
        <n v="241.06"/>
        <n v="181.26"/>
        <n v="580.33000000000004"/>
        <n v="-1061.68"/>
        <n v="-235.21"/>
        <n v="-893.39"/>
        <n v="-287.62"/>
        <n v="-52.44"/>
        <n v="-103.23"/>
        <n v="4141.8035"/>
        <n v="-41.6"/>
        <n v="1715.9"/>
        <n v="624.97799999999995"/>
        <n v="-71.05"/>
        <n v="1947.67"/>
        <n v="-1312.84"/>
        <n v="2.4500000000000002"/>
        <n v="-44.517900000000004"/>
        <n v="79.52"/>
        <n v="1547.78"/>
        <n v="-27.13"/>
        <n v="-10.58"/>
        <n v="-46.904000000000003"/>
        <n v="1235.1510000000001"/>
        <n v="-3.78"/>
        <n v="-69.89"/>
        <n v="376.47"/>
        <n v="-73.19"/>
        <n v="42.16"/>
        <n v="-254.78200000000001"/>
        <n v="63.605499999999999"/>
        <n v="47.14"/>
        <n v="251.64"/>
        <n v="-28.13"/>
        <n v="-566"/>
        <n v="108"/>
        <n v="377.154"/>
        <n v="109.83600000000001"/>
        <n v="128.03"/>
        <n v="-6.12"/>
        <n v="22.38"/>
        <n v="-79.959999999999994"/>
        <n v="51.08"/>
        <n v="-178.54"/>
        <n v="89.6"/>
        <n v="803.601"/>
        <n v="617.0575"/>
        <n v="138.1"/>
        <n v="-9078.94"/>
        <n v="368.86"/>
        <n v="73.7"/>
        <n v="-71.45"/>
        <n v="-7.766"/>
        <n v="246"/>
        <n v="122.06"/>
        <n v="-737.41"/>
        <n v="-12.98"/>
        <n v="49.05"/>
        <n v="-26.33"/>
        <n v="75.36"/>
        <n v="-241.28"/>
        <n v="-87.46"/>
        <n v="-25.41"/>
        <n v="375.25"/>
        <n v="63.88"/>
        <n v="-176.05500000000001"/>
        <n v="-28.945500000000003"/>
        <n v="-265.62"/>
        <n v="-157.4"/>
        <n v="3985.11"/>
        <n v="31.54"/>
        <n v="-36.225000000000001"/>
        <n v="-76.601500000000001"/>
        <n v="-1704.89"/>
        <n v="-8570.4483"/>
        <n v="-1045.25"/>
        <n v="-78.81"/>
        <n v="12.82"/>
        <n v="0.18999999999999773"/>
        <n v="-91.275500000000008"/>
        <n v="106.71"/>
        <n v="1125.42"/>
        <n v="60.36"/>
        <n v="0.57999999999999996"/>
        <n v="248.98200000000003"/>
        <n v="-224.41"/>
        <n v="242.44200000000001"/>
        <n v="-42.61"/>
        <n v="91.56"/>
        <n v="-9.3610000000000007"/>
        <n v="-7.25"/>
        <n v="43"/>
        <n v="28.42"/>
        <n v="-108.2"/>
        <n v="-41.75"/>
        <n v="1116.02"/>
        <n v="4.6100000000000003"/>
        <n v="-520.54999999999995"/>
        <n v="-17.192499999999999"/>
        <n v="735.99"/>
        <n v="-41.32"/>
        <n v="298.83"/>
        <n v="-151.80000000000001"/>
        <n v="1192.9769999999999"/>
        <n v="542.33000000000004"/>
        <n v="-11.36"/>
        <n v="-91.31"/>
        <n v="-626.45000000000005"/>
        <n v="350.82"/>
        <n v="-211.33"/>
        <n v="-21.44"/>
        <n v="61.13"/>
        <n v="-21.03"/>
        <n v="146.51"/>
        <n v="-53.854500000000002"/>
        <n v="-116.87"/>
        <n v="25.58"/>
        <n v="-105.15"/>
        <n v="-3669.0509999999999"/>
        <n v="-100.89"/>
        <n v="-29.42"/>
        <n v="-527.83000000000004"/>
        <n v="-48.28"/>
        <n v="12748.86"/>
        <n v="1689.93"/>
        <n v="875.57"/>
        <n v="1779.01"/>
        <n v="80.36"/>
        <n v="-56.212000000000003"/>
        <n v="-626.08000000000004"/>
        <n v="28.89"/>
        <n v="-1605.73"/>
        <n v="-90.585499999999996"/>
        <n v="-36.9"/>
        <n v="10.979999999999945"/>
        <n v="-197.06"/>
        <n v="103.11"/>
        <n v="-589.58000000000004"/>
        <n v="-56.304000000000002"/>
        <n v="-101.41"/>
        <n v="28.11"/>
        <n v="425.75400000000002"/>
        <n v="1542"/>
        <n v="270.60300000000001"/>
        <n v="-16.489999999999998"/>
        <n v="-270.95999999999998"/>
        <n v="-1087.3599999999999"/>
        <n v="7.5500000000000114"/>
        <n v="-3.23"/>
        <n v="-258.85199999999998"/>
        <n v="100.77"/>
        <n v="120.02"/>
        <n v="148.34"/>
        <n v="67.03"/>
        <n v="-5.05"/>
        <n v="-144.24"/>
        <n v="-4.5"/>
        <n v="154.02000000000001"/>
        <n v="-448.25"/>
        <n v="-226.62"/>
        <n v="-74.43950000000001"/>
        <n v="-54.01"/>
        <n v="1499.94"/>
        <n v="120.18"/>
        <n v="79.542000000000002"/>
        <n v="-38.44"/>
        <n v="-593.79999999999995"/>
        <n v="47.98"/>
        <n v="38.700000000000003"/>
        <n v="-21.91"/>
        <n v="-119.77"/>
        <n v="-119.92"/>
        <n v="-31.24"/>
        <n v="210.52800000000002"/>
        <n v="-25.65"/>
        <n v="6919.8670000000002"/>
        <n v="1167.3800000000001"/>
        <n v="2.81"/>
        <n v="128.11000000000001"/>
        <n v="-195.93"/>
        <n v="-23.1"/>
        <n v="600.4"/>
        <n v="-44.300400000000003"/>
        <n v="-193.08"/>
        <n v="-1049.8499999999999"/>
        <n v="1438.49"/>
        <n v="3.25"/>
        <n v="-115.48"/>
        <n v="-57.84"/>
        <n v="-4.8459000000000003"/>
        <n v="148.88999999999999"/>
        <n v="-37.202500000000001"/>
        <n v="-226.24"/>
        <n v="247.94"/>
        <n v="569.29999999999995"/>
        <n v="-4560.43"/>
        <n v="-4.3009999999999939"/>
        <n v="197.16"/>
        <n v="1839.204"/>
        <n v="-158.58000000000001"/>
        <n v="36.32"/>
        <n v="662.04899999999998"/>
        <n v="-47.01"/>
        <n v="435.11"/>
        <n v="202.47"/>
        <n v="34.24"/>
        <n v="-202.851"/>
        <n v="-17.48"/>
        <n v="330.02949999999998"/>
        <n v="655.36"/>
        <n v="868.47299999999996"/>
        <n v="-123.07"/>
        <n v="-127.006"/>
        <n v="379.11"/>
        <n v="142.55099999999999"/>
        <n v="-99.38"/>
        <n v="-90.41"/>
        <n v="-110.07"/>
        <n v="1903.1"/>
        <n v="-2.6105"/>
        <n v="450.01799999999997"/>
        <n v="-63.77"/>
        <n v="-190.42100000000002"/>
        <n v="385.46"/>
        <n v="28.4"/>
        <n v="1318.83"/>
        <n v="541.91999999999996"/>
        <n v="-15.1225"/>
        <n v="1116.98"/>
        <n v="-335.685"/>
        <n v="-7.48"/>
        <n v="-70.430000000000007"/>
        <n v="37.770000000000003"/>
        <n v="173.48"/>
        <n v="-8.44"/>
        <n v="398.22300000000001"/>
        <n v="-38.94"/>
        <n v="431.95"/>
        <n v="-96.29"/>
        <n v="690.26800000000003"/>
        <n v="-41.83"/>
        <n v="372.40199999999999"/>
        <n v="6.7404999999999999"/>
        <n v="-10.64"/>
        <n v="-7.4060000000000006"/>
        <n v="-44.47"/>
        <n v="344.13299999999998"/>
        <n v="239.23"/>
        <n v="230.37"/>
        <n v="-48.207999999999998"/>
        <n v="53.63"/>
        <n v="-253.374"/>
        <n v="-33.950000000000003"/>
        <n v="-14.3635"/>
        <n v="-18.809999999999999"/>
        <n v="1170.3499999999999"/>
        <n v="-139.75"/>
        <n v="-475.66200000000003"/>
        <n v="74.83"/>
        <n v="83.16"/>
        <n v="28.81"/>
        <n v="1494.01"/>
        <n v="65.010000000000005"/>
        <n v="-319.26"/>
        <n v="-4858.6716000000006"/>
        <n v="62.162999999999997"/>
        <n v="-12.88"/>
        <n v="13.8"/>
        <n v="202.827"/>
        <n v="539.45000000000005"/>
        <n v="-1097.97"/>
        <n v="170.56800000000001"/>
        <n v="-8.2799999999999994"/>
        <n v="15.83"/>
        <n v="-51.301499999999997"/>
        <n v="89.95"/>
        <n v="0.85850000000000004"/>
        <n v="26.71"/>
        <n v="247.79"/>
        <n v="4592.7370000000001"/>
        <n v="-67.459000000000003"/>
        <n v="-46.68"/>
        <n v="5979.5630000000001"/>
        <n v="-427.99"/>
        <n v="-7961.4308999999994"/>
        <n v="-17.413"/>
        <n v="5381.02"/>
        <n v="-16.670000000000002"/>
        <n v="-4.9564999999999992"/>
        <n v="26.741"/>
        <n v="338.91"/>
        <n v="28.526000000000003"/>
        <n v="5475.8"/>
        <n v="131.69999999999999"/>
        <n v="23.52"/>
        <n v="-3033.57"/>
        <n v="175.32"/>
        <n v="288.08999999999997"/>
        <n v="1030.509"/>
        <n v="124.36"/>
        <n v="-28.37"/>
        <n v="10.998000000000001"/>
        <n v="69.61"/>
        <n v="13.82"/>
        <n v="-248.78"/>
        <n v="26.27"/>
        <n v="7"/>
        <n v="812.32"/>
        <n v="308.52999999999997"/>
        <n v="-35.442999999999998"/>
        <n v="-29.003"/>
        <n v="-26.54"/>
        <n v="-115.21"/>
        <n v="-6.78"/>
        <n v="-122.12"/>
        <n v="-27.72"/>
        <n v="45.84"/>
        <n v="1137.9059999999999"/>
        <n v="-458.33"/>
        <n v="-8.8800000000000008"/>
        <n v="-35.26"/>
        <n v="-60.9"/>
        <n v="1577.02"/>
        <n v="12.5"/>
        <n v="3918.54"/>
        <n v="1.3"/>
        <n v="-8.9499999999999993"/>
        <n v="-148.79849999999999"/>
        <n v="649.04999999999995"/>
        <n v="-38.04"/>
        <n v="32.25"/>
        <n v="-691.31"/>
        <n v="-1621.38"/>
        <n v="44.23"/>
        <n v="1389.18"/>
        <n v="1952.15"/>
        <n v="-173.96"/>
        <n v="-581.59"/>
        <n v="160.72"/>
        <n v="1675.98"/>
        <n v="1.82"/>
        <n v="20.43"/>
        <n v="229.6"/>
        <n v="-83.78"/>
        <n v="49.04"/>
        <n v="23.16"/>
        <n v="-35.74"/>
        <n v="195.04"/>
        <n v="-93.849999999999909"/>
        <n v="48.76"/>
        <n v="-182.87"/>
        <n v="-1.78"/>
        <n v="21.479500000000002"/>
        <n v="-3798.0110999999997"/>
        <n v="-97.06"/>
        <n v="-139.13"/>
        <n v="5325.14"/>
        <n v="48.6"/>
        <n v="-20.95"/>
        <n v="-166.96"/>
        <n v="-15.07"/>
        <n v="-19.899999999999999"/>
        <n v="1435.8329999999999"/>
        <n v="-73.404499999999999"/>
        <n v="-335.77"/>
        <n v="112.78"/>
        <n v="820.94"/>
        <n v="-24.43"/>
        <n v="-18.57"/>
        <n v="8.34"/>
        <n v="-5.76"/>
        <n v="164.97"/>
        <n v="-776.72"/>
        <n v="-300.38799999999998"/>
        <n v="-1.36"/>
        <n v="-97.195999999999998"/>
        <n v="-261.77"/>
        <n v="749.16"/>
        <n v="256.3"/>
        <n v="803.48"/>
        <n v="74.2"/>
        <n v="46.69"/>
        <n v="-51.182099999999998"/>
        <n v="-71.55"/>
        <n v="-2.82"/>
        <n v="-27.674699999999998"/>
        <n v="-132.26150000000001"/>
        <n v="37.9"/>
        <n v="56.4315"/>
        <n v="-52.76"/>
        <n v="58.1"/>
        <n v="842.83"/>
        <n v="-57.75"/>
        <n v="53.44"/>
        <n v="403.83"/>
        <n v="51.91"/>
        <n v="18.260000000000002"/>
        <n v="-83.71"/>
        <n v="-30.04"/>
        <n v="322.50599999999997"/>
        <n v="-3.67"/>
        <n v="249.10199999999998"/>
        <n v="605.91999999999996"/>
        <n v="-39.1"/>
        <n v="23.961500000000001"/>
        <n v="14.46"/>
        <n v="6.11"/>
        <n v="-6.34"/>
        <n v="-160.27549999999999"/>
        <n v="-7373.1282000000001"/>
        <n v="-81.55"/>
        <n v="0.71100000000000563"/>
        <n v="141.16999999999999"/>
        <n v="-17.78"/>
        <n v="0.84999999999999787"/>
        <n v="-115.66"/>
        <n v="-15.2"/>
        <n v="30.97"/>
        <n v="-13.53"/>
        <n v="-117.61199999999999"/>
        <n v="-102.17"/>
        <n v="500.04899999999998"/>
        <n v="52.33"/>
        <n v="-25.52"/>
        <n v="209.54"/>
        <n v="483.95"/>
        <n v="-8.06"/>
        <n v="1192.04"/>
        <n v="-104.57"/>
        <n v="28.339000000000002"/>
        <n v="-173.66"/>
        <n v="-107.2"/>
        <n v="-6.8194999999999997"/>
        <n v="1094.74"/>
        <n v="-4.5599999999999996"/>
        <n v="473.26499999999999"/>
        <n v="157.44999999999999"/>
        <n v="395.85"/>
        <n v="171.94"/>
        <n v="-84.421499999999995"/>
        <n v="74.14"/>
        <n v="-47"/>
        <n v="-111.87"/>
        <n v="851.31"/>
        <n v="171.4025"/>
        <n v="-13.86"/>
        <n v="-56.108499999999999"/>
        <n v="-550.42999999999995"/>
        <n v="-52.12"/>
        <n v="202.63"/>
        <n v="544.92999999999995"/>
        <n v="-89.216999999999999"/>
        <n v="-75.06"/>
        <n v="17.149999999999999"/>
        <n v="-30.39"/>
        <n v="47.096999999999994"/>
        <n v="-2.87"/>
        <n v="90.91"/>
        <n v="-12.99"/>
        <n v="555.93399999999997"/>
        <n v="-114.19499999999999"/>
        <n v="-98.431799999999996"/>
        <n v="416.01549999999997"/>
        <n v="-238.45"/>
        <n v="202.68"/>
        <n v="-45.02"/>
        <n v="730.44"/>
        <n v="541.01"/>
        <n v="-113.86"/>
        <n v="36.94"/>
        <n v="-9.3149999999999942"/>
        <n v="39.229999999999997"/>
        <n v="-38.57"/>
        <n v="264.32100000000003"/>
        <n v="-11.948500000000001"/>
        <n v="-60.91"/>
        <n v="-166.41"/>
        <n v="1646.43"/>
        <n v="-18.39"/>
        <n v="-1.06"/>
        <n v="-125.8"/>
        <n v="-10.84"/>
        <n v="84.53"/>
        <n v="1426.2570000000001"/>
        <n v="-164.39520000000002"/>
        <n v="-993.35"/>
        <n v="-1578.26"/>
        <n v="-9.08"/>
        <n v="94.96"/>
        <n v="8.8994999999999997"/>
        <n v="316.476"/>
        <n v="2322.44"/>
        <n v="5.88"/>
        <n v="-125.6"/>
        <n v="-35.534999999999997"/>
        <n v="-734.31"/>
        <n v="8.48"/>
        <n v="30.63"/>
        <n v="-59.880499999999998"/>
        <n v="-10.29"/>
        <n v="25.59"/>
        <n v="-255.66"/>
        <n v="-135.102"/>
        <n v="214.61"/>
        <n v="37.090000000000003"/>
        <n v="428.47199999999998"/>
        <n v="104.03"/>
        <n v="-19.920000000000002"/>
        <n v="-131.63"/>
        <n v="-7.6"/>
        <n v="-315.029"/>
        <n v="9.4860000000000007"/>
        <n v="-263.64999999999998"/>
        <n v="890.18100000000004"/>
        <n v="-107.49"/>
        <n v="3025.59"/>
        <n v="-17.457000000000001"/>
        <n v="-56.73"/>
        <n v="3.76"/>
        <n v="6839.95"/>
        <n v="-87.4"/>
        <n v="593.79"/>
        <n v="111.4"/>
        <n v="-16.72"/>
        <n v="-542.32000000000005"/>
        <n v="-127.7"/>
        <n v="-45.65"/>
        <n v="3309.55"/>
        <n v="196.22"/>
        <n v="-39.229999999999997"/>
        <n v="1609.29"/>
        <n v="88.68"/>
        <n v="-180.23"/>
        <n v="-74.405000000000001"/>
        <n v="-108.14"/>
        <n v="1464.23"/>
        <n v="-129.24"/>
        <n v="-29.532"/>
        <n v="1189.96"/>
        <n v="-70.73"/>
        <n v="-10.06"/>
        <n v="-18.64"/>
        <n v="47.09"/>
        <n v="128"/>
        <n v="-55.610399999999998"/>
        <n v="169.15"/>
        <n v="28.551500000000004"/>
        <n v="855.14"/>
        <n v="-11.15"/>
        <n v="-118.9"/>
        <n v="14.1"/>
        <n v="1020.4109999999999"/>
        <n v="341.95499999999998"/>
        <n v="-32.4"/>
        <n v="-120.934"/>
        <n v="-95.047499999999999"/>
        <n v="3.4509999999999996"/>
        <n v="-275.25299999999999"/>
        <n v="3039.37"/>
        <n v="-135.16"/>
        <n v="2229.48"/>
        <n v="-279.12"/>
        <n v="1687.07"/>
        <n v="-1032.1300000000001"/>
        <n v="70.459999999999994"/>
        <n v="-44.4"/>
        <n v="-109.417"/>
        <n v="-217.69"/>
        <n v="-746.44"/>
        <n v="-274.95"/>
        <n v="-171.20399999999998"/>
        <n v="284.64999999999998"/>
        <n v="1499.41"/>
        <n v="-78.13"/>
        <n v="-193.39"/>
        <n v="713.88"/>
        <n v="75.83"/>
        <n v="-0.89"/>
        <n v="1413.941"/>
        <n v="-15.13"/>
        <n v="-9.5679999999999996"/>
        <n v="-286.58"/>
        <n v="-64.944000000000003"/>
        <n v="-4793.0039999999999"/>
        <n v="-84.77"/>
        <n v="-8389.4709000000003"/>
        <n v="76.87"/>
        <n v="-14.98"/>
        <n v="-77.08"/>
        <n v="474.98"/>
        <n v="28.47"/>
        <n v="11.83"/>
        <n v="-85.11"/>
        <n v="90.04"/>
        <n v="74.73"/>
        <n v="27.37"/>
        <n v="660.25"/>
        <n v="55.42"/>
        <n v="-1329.81"/>
        <n v="1256.9670000000001"/>
        <n v="-100.49"/>
        <n v="-118.74"/>
        <n v="-67.132999999999996"/>
        <n v="1217.19"/>
        <n v="-99.95"/>
        <n v="-17.420000000000002"/>
        <n v="-5.4395000000000007"/>
        <n v="-205.49349999999998"/>
        <n v="62.54"/>
        <n v="-597.21"/>
        <n v="108.65"/>
        <n v="-49.6"/>
        <n v="46.478000000000002"/>
        <n v="-31.22"/>
        <n v="224.8"/>
        <n v="286.98"/>
        <n v="15.97"/>
        <n v="897.36300000000006"/>
        <n v="163.38"/>
        <n v="-87.021000000000001"/>
        <n v="-13.500999999999999"/>
        <n v="294.96600000000001"/>
        <n v="35.090000000000003"/>
        <n v="785.63"/>
        <n v="856.96199999999999"/>
        <n v="-13.88"/>
        <n v="-25.97"/>
        <n v="114.95"/>
        <n v="46.970999999999997"/>
        <n v="53.15"/>
        <n v="189.04"/>
        <n v="-23.65"/>
        <n v="35.08"/>
        <n v="7.9200000000000728"/>
        <n v="-52.18"/>
        <n v="-63.35"/>
        <n v="-256.51900000000001"/>
        <n v="398.358"/>
        <n v="-38.229999999999997"/>
        <n v="-27.66"/>
        <n v="-22.13"/>
        <n v="-4.6399999999999997"/>
        <n v="-40.56"/>
        <n v="-134.41200000000001"/>
        <n v="-517.08000000000004"/>
        <n v="8.89"/>
        <n v="41.54"/>
        <n v="-173.25"/>
        <n v="153.47999999999999"/>
        <n v="11.322000000000001"/>
        <n v="211.73"/>
        <n v="-64.5"/>
        <n v="512.69000000000005"/>
        <n v="-0.31"/>
        <n v="-76.92"/>
        <n v="94"/>
        <n v="-57.98"/>
        <n v="-6.88"/>
        <n v="1395.02"/>
        <n v="-1348.06"/>
        <n v="269.27"/>
        <n v="-7.76"/>
        <n v="-1131.5999999999999"/>
        <n v="32.83"/>
        <n v="51.590000000000053"/>
        <n v="4451.0079999999998"/>
        <n v="-116.3455"/>
        <n v="1304.9000000000001"/>
        <n v="693.0630000000001"/>
        <n v="590.31899999999996"/>
        <n v="-8.4499999999999993"/>
        <n v="-47.023499999999999"/>
        <n v="-885.73"/>
        <n v="65.349999999999994"/>
        <n v="-14.29"/>
        <n v="-27.07"/>
        <n v="185.08750000000001"/>
        <n v="568.17899999999997"/>
        <n v="98.352000000000004"/>
        <n v="43.030000000000086"/>
        <n v="225.19900000000001"/>
        <n v="1236.3589999999999"/>
        <n v="110.05"/>
        <n v="453.798"/>
        <n v="-138.91999999999999"/>
        <n v="369.48"/>
        <n v="21.7685"/>
        <n v="33.26"/>
        <n v="-73.83"/>
        <n v="1579.34"/>
        <n v="-1280.5999999999999"/>
        <n v="-307.86"/>
        <n v="367.46100000000001"/>
        <n v="-179.96"/>
        <n v="-14.352"/>
        <n v="-10263.6597"/>
        <n v="56.75"/>
        <n v="-16.3"/>
        <n v="969.42"/>
        <n v="1285.74"/>
        <n v="-47.92"/>
        <n v="66.38"/>
        <n v="-321.20999999999998"/>
        <n v="-212.01"/>
        <n v="999.86500000000001"/>
        <n v="36.430999999999997"/>
        <n v="219.03649999999999"/>
        <n v="175.24"/>
        <n v="192.06"/>
        <n v="189.28"/>
        <n v="32.700000000000003"/>
        <n v="-60.79"/>
        <n v="-96.54"/>
        <n v="0.14999999999999858"/>
        <n v="16.566499999999998"/>
        <n v="-8.82"/>
        <n v="-100.24"/>
        <n v="-262.62"/>
        <n v="256.16000000000003"/>
        <n v="341.98"/>
        <n v="29.556000000000004"/>
        <n v="994.68"/>
        <n v="39.909999999999997"/>
        <n v="1169.7105000000001"/>
        <n v="-0.49"/>
        <n v="760.79"/>
        <n v="-6.84"/>
        <n v="1760.11"/>
        <n v="1263.98"/>
        <n v="-86.3"/>
        <n v="-57.97"/>
        <n v="1140.6690000000001"/>
        <n v="-8.3260000000000005"/>
        <n v="-53.89"/>
        <n v="2685.19"/>
        <n v="1278.45"/>
        <n v="-270.48"/>
        <n v="-66.930000000000007"/>
        <n v="-42.98"/>
        <n v="-298.89999999999998"/>
        <n v="-204.22"/>
        <n v="49.76"/>
        <n v="-82.06"/>
        <n v="1856.12"/>
        <n v="-90.72"/>
        <n v="379.73750000000001"/>
        <n v="-8.11"/>
        <n v="-47.67"/>
        <n v="271.89999999999998"/>
        <n v="-796.51"/>
        <n v="303.22800000000001"/>
        <n v="65.756"/>
        <n v="-19.09"/>
        <n v="-244.33"/>
        <n v="1166.0940000000001"/>
        <n v="835.46"/>
        <n v="-344.82"/>
        <n v="146.63999999999999"/>
        <n v="1899.23"/>
        <n v="1057.6199999999999"/>
        <n v="-5.65"/>
        <n v="-73.347000000000008"/>
        <n v="-94.59"/>
        <n v="-293.74"/>
        <n v="-824.43"/>
        <n v="-351.51"/>
        <n v="202.73"/>
        <n v="-118.55"/>
        <n v="-95.04"/>
        <n v="-699.72"/>
        <n v="422.23"/>
        <n v="-106.42100000000001"/>
        <n v="110.77"/>
        <n v="-6.82"/>
        <n v="611.42999999999995"/>
        <n v="-50.27"/>
        <n v="-88.61"/>
        <n v="-6.57"/>
        <n v="832.19399999999996"/>
        <n v="-96.33"/>
        <n v="2.33"/>
        <n v="126.31"/>
        <n v="223.38"/>
        <n v="554.91"/>
        <n v="-9.7799999999999994"/>
        <n v="-3.1625000000000001"/>
        <n v="57.17"/>
        <n v="12.02"/>
        <n v="-410.39"/>
        <n v="461.65"/>
        <n v="-117.1045"/>
        <n v="446.99400000000003"/>
        <n v="262.32"/>
        <n v="-34.17"/>
        <n v="-166.74"/>
        <n v="-40.43"/>
        <n v="-22.74"/>
        <n v="384.38"/>
        <n v="-17.489999999999998"/>
        <n v="-114.63990000000001"/>
        <n v="-73.070999999999998"/>
        <n v="-12557.997599999999"/>
        <n v="0.52999999999999758"/>
        <n v="-15.92"/>
        <n v="405.64"/>
        <n v="-15.48"/>
        <n v="-517.83000000000004"/>
        <n v="20.309999999999999"/>
        <n v="-57.73"/>
        <n v="-32.619999999999997"/>
        <n v="-120.04"/>
        <n v="-17.22"/>
        <n v="-85.32"/>
        <n v="693.01"/>
        <n v="624.70799999999997"/>
        <n v="-404.36"/>
        <n v="-103.75"/>
        <n v="348.58799999999997"/>
        <n v="163.1"/>
        <n v="-13.708"/>
        <n v="-268.64999999999998"/>
        <n v="-12.2"/>
        <n v="-7.23"/>
        <n v="675.07"/>
        <n v="150.04"/>
        <n v="-556.25"/>
        <n v="-1.76"/>
        <n v="332.52"/>
        <n v="26.28"/>
        <n v="22.571999999999999"/>
        <n v="53.311999999999998"/>
        <n v="161.32"/>
        <n v="215.8"/>
      </sharedItems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10.2" count="409">
        <n v="19.989999999999998"/>
        <n v="8.99"/>
        <n v="45.51"/>
        <n v="5.42"/>
        <n v="5.34"/>
        <n v="8.2899999999999991"/>
        <n v="1.49"/>
        <n v="4.96"/>
        <n v="5.47"/>
        <n v="6.27"/>
        <n v="1.99"/>
        <n v="9.5399999999999991"/>
        <n v="10.68"/>
        <n v="4"/>
        <n v="0.5"/>
        <n v="1.2"/>
        <n v="0.7"/>
        <n v="80.2"/>
        <n v="1.34"/>
        <n v="6.2"/>
        <n v="5.3"/>
        <n v="6.28"/>
        <n v="0.99"/>
        <n v="5.33"/>
        <n v="13.99"/>
        <n v="11.25"/>
        <n v="54.74"/>
        <n v="42.52"/>
        <n v="1.69"/>
        <n v="2.5"/>
        <n v="4.2699999999999996"/>
        <n v="2.87"/>
        <n v="14.52"/>
        <n v="21.21"/>
        <n v="6.65"/>
        <n v="4.51"/>
        <n v="5.92"/>
        <n v="24.49"/>
        <n v="60"/>
        <n v="4.5"/>
        <n v="5.16"/>
        <n v="4.95"/>
        <n v="5.37"/>
        <n v="6.35"/>
        <n v="5.15"/>
        <n v="4.0999999999999996"/>
        <n v="0.8"/>
        <n v="0.96"/>
        <n v="0.75"/>
        <n v="5.86"/>
        <n v="85.63"/>
        <n v="4.08"/>
        <n v="19.46"/>
        <n v="29.2"/>
        <n v="4.93"/>
        <n v="28.63"/>
        <n v="7.09"/>
        <n v="74.349999999999994"/>
        <n v="5.14"/>
        <n v="56.14"/>
        <n v="0.94"/>
        <n v="6.24"/>
        <n v="11.59"/>
        <n v="14.3"/>
        <n v="5"/>
        <n v="8.74"/>
        <n v="35"/>
        <n v="4.9000000000000004"/>
        <n v="2.83"/>
        <n v="42"/>
        <n v="1.01"/>
        <n v="0.91"/>
        <n v="5.29"/>
        <n v="5.6"/>
        <n v="5.0199999999999996"/>
        <n v="57.38"/>
        <n v="5.26"/>
        <n v="2.0299999999999998"/>
        <n v="5.4"/>
        <n v="9.4"/>
        <n v="6.81"/>
        <n v="7.01"/>
        <n v="5.63"/>
        <n v="35.020000000000003"/>
        <n v="7.69"/>
        <n v="2"/>
        <n v="4.28"/>
        <n v="8.73"/>
        <n v="7.42"/>
        <n v="46.2"/>
        <n v="8.08"/>
        <n v="7.2"/>
        <n v="36.61"/>
        <n v="0.98"/>
        <n v="5.01"/>
        <n v="5.41"/>
        <n v="4.3899999999999997"/>
        <n v="4.8099999999999996"/>
        <n v="7.15"/>
        <n v="2.04"/>
        <n v="17.850000000000001"/>
        <n v="5.09"/>
        <n v="5.22"/>
        <n v="15.59"/>
        <n v="2.74"/>
        <n v="69"/>
        <n v="1.25"/>
        <n v="5.19"/>
        <n v="5.53"/>
        <n v="2.89"/>
        <n v="8.2200000000000006"/>
        <n v="27.75"/>
        <n v="6.13"/>
        <n v="9.1999999999999993"/>
        <n v="66.27"/>
        <n v="6.5"/>
        <n v="1.17"/>
        <n v="54.92"/>
        <n v="29.7"/>
        <n v="26"/>
        <n v="13.22"/>
        <n v="14.7"/>
        <n v="46.59"/>
        <n v="5.74"/>
        <n v="3.5"/>
        <n v="58.2"/>
        <n v="1.39"/>
        <n v="1.58"/>
        <n v="5.5"/>
        <n v="5.49"/>
        <n v="4.6900000000000004"/>
        <n v="12.39"/>
        <n v="69.55"/>
        <n v="14.37"/>
        <n v="5.25"/>
        <n v="7.11"/>
        <n v="14.39"/>
        <n v="5.99"/>
        <n v="22.24"/>
        <n v="8.7799999999999994"/>
        <n v="7.72"/>
        <n v="4.62"/>
        <n v="1.57"/>
        <n v="16.059999999999999"/>
        <n v="1.52"/>
        <n v="51.94"/>
        <n v="4.68"/>
        <n v="30"/>
        <n v="4.8600000000000003"/>
        <n v="4.2300000000000004"/>
        <n v="6.07"/>
        <n v="29.21"/>
        <n v="28.06"/>
        <n v="0.83"/>
        <n v="13.89"/>
        <n v="66.67"/>
        <n v="11.28"/>
        <n v="6.75"/>
        <n v="9.86"/>
        <n v="75.23"/>
        <n v="8.32"/>
        <n v="9.92"/>
        <n v="11.54"/>
        <n v="9.69"/>
        <n v="5.21"/>
        <n v="6.97"/>
        <n v="91.05"/>
        <n v="2.14"/>
        <n v="2.99"/>
        <n v="50"/>
        <n v="1.79"/>
        <n v="28"/>
        <n v="49"/>
        <n v="4.72"/>
        <n v="40.19"/>
        <n v="6.96"/>
        <n v="7.07"/>
        <n v="3.85"/>
        <n v="5.2"/>
        <n v="5.03"/>
        <n v="7.94"/>
        <n v="3.97"/>
        <n v="2.36"/>
        <n v="43.57"/>
        <n v="8.68"/>
        <n v="8.8000000000000007"/>
        <n v="23.76"/>
        <n v="43.75"/>
        <n v="8.18"/>
        <n v="2.15"/>
        <n v="55.96"/>
        <n v="6.22"/>
        <n v="10.39"/>
        <n v="3.99"/>
        <n v="18.45"/>
        <n v="5.27"/>
        <n v="7.37"/>
        <n v="5.83"/>
        <n v="7.95"/>
        <n v="3.14"/>
        <n v="7.77"/>
        <n v="8.33"/>
        <n v="14.72"/>
        <n v="6.91"/>
        <n v="7.87"/>
        <n v="9.4499999999999993"/>
        <n v="8.64"/>
        <n v="7.57"/>
        <n v="6.47"/>
        <n v="4.53"/>
        <n v="8.3699999999999992"/>
        <n v="12.65"/>
        <n v="15.1"/>
        <n v="6.05"/>
        <n v="35.840000000000003"/>
        <n v="26.74"/>
        <n v="7.78"/>
        <n v="28.14"/>
        <n v="8.5399999999999991"/>
        <n v="11.15"/>
        <n v="3.77"/>
        <n v="5.0999999999999996"/>
        <n v="9.0299999999999994"/>
        <n v="4.82"/>
        <n v="5.72"/>
        <n v="1.6"/>
        <n v="8.5500000000000007"/>
        <n v="57"/>
        <n v="9.3699999999999992"/>
        <n v="4.32"/>
        <n v="45"/>
        <n v="2.82"/>
        <n v="1.32"/>
        <n v="4.2"/>
        <n v="6.66"/>
        <n v="11.79"/>
        <n v="5.76"/>
        <n v="48.8"/>
        <n v="4.17"/>
        <n v="7.51"/>
        <n v="5.48"/>
        <n v="12.62"/>
        <n v="7.96"/>
        <n v="5.46"/>
        <n v="9.83"/>
        <n v="6.92"/>
        <n v="6.21"/>
        <n v="6.88"/>
        <n v="1.3"/>
        <n v="18.059999999999999"/>
        <n v="19.95"/>
        <n v="5.81"/>
        <n v="11.51"/>
        <n v="54.12"/>
        <n v="1.29"/>
        <n v="30.06"/>
        <n v="5.66"/>
        <n v="9.07"/>
        <n v="2.38"/>
        <n v="2.97"/>
        <n v="6.6"/>
        <n v="26.85"/>
        <n v="17.48"/>
        <n v="7.5"/>
        <n v="6.77"/>
        <n v="1.46"/>
        <n v="2.27"/>
        <n v="26.53"/>
        <n v="17.079999999999998"/>
        <n v="32.409999999999997"/>
        <n v="2.2599999999999998"/>
        <n v="6.79"/>
        <n v="4.99"/>
        <n v="2.2000000000000002"/>
        <n v="1.97"/>
        <n v="3.96"/>
        <n v="36.090000000000003"/>
        <n v="5.61"/>
        <n v="12.23"/>
        <n v="48.26"/>
        <n v="0.71"/>
        <n v="89.3"/>
        <n v="58.95"/>
        <n v="0.85"/>
        <n v="52.2"/>
        <n v="10.49"/>
        <n v="6.02"/>
        <n v="5.08"/>
        <n v="6.19"/>
        <n v="6.89"/>
        <n v="16.920000000000002"/>
        <n v="22.6"/>
        <n v="45.7"/>
        <n v="4.7699999999999996"/>
        <n v="3.26"/>
        <n v="69.64"/>
        <n v="6.15"/>
        <n v="0.81"/>
        <n v="3.37"/>
        <n v="56"/>
        <n v="3.68"/>
        <n v="3.9"/>
        <n v="7.54"/>
        <n v="1.56"/>
        <n v="110.2"/>
        <n v="8.9700000000000006"/>
        <n v="4.8"/>
        <n v="1.92"/>
        <n v="0.49"/>
        <n v="3.62"/>
        <n v="5.96"/>
        <n v="0.97"/>
        <n v="7.23"/>
        <n v="6.46"/>
        <n v="1"/>
        <n v="6.31"/>
        <n v="2.64"/>
        <n v="8.94"/>
        <n v="7.59"/>
        <n v="9.68"/>
        <n v="5.57"/>
        <n v="59.24"/>
        <n v="5.17"/>
        <n v="12.14"/>
        <n v="5.68"/>
        <n v="6.16"/>
        <n v="3.92"/>
        <n v="1.77"/>
        <n v="5.79"/>
        <n v="4.9800000000000004"/>
        <n v="1.93"/>
        <n v="41.64"/>
        <n v="18.98"/>
        <n v="44.55"/>
        <n v="7.46"/>
        <n v="5.24"/>
        <n v="11.52"/>
        <n v="53.48"/>
        <n v="35.67"/>
        <n v="23.78"/>
        <n v="39"/>
        <n v="3.6"/>
        <n v="41.44"/>
        <n v="5.97"/>
        <n v="9.02"/>
        <n v="60.2"/>
        <n v="1.38"/>
        <n v="0.88"/>
        <n v="21.26"/>
        <n v="7.3"/>
        <n v="1.1000000000000001"/>
        <n v="3.63"/>
        <n v="32.479999999999997"/>
        <n v="3.3"/>
        <n v="19.510000000000002"/>
        <n v="6.26"/>
        <n v="9.7100000000000009"/>
        <n v="4.78"/>
        <n v="1.43"/>
        <n v="6.83"/>
        <n v="14.45"/>
        <n v="6"/>
        <n v="3"/>
        <n v="5.31"/>
        <n v="5.77"/>
        <n v="2.35"/>
        <n v="2.96"/>
        <n v="2.39"/>
        <n v="1.1200000000000001"/>
        <n v="5.94"/>
        <n v="7.86"/>
        <n v="6.72"/>
        <n v="54.11"/>
        <n v="6.12"/>
        <n v="70.2"/>
        <n v="2.17"/>
        <n v="7.18"/>
        <n v="8.16"/>
        <n v="7.27"/>
        <n v="3.12"/>
        <n v="10.16"/>
        <n v="7.58"/>
        <n v="2.06"/>
        <n v="8.4"/>
        <n v="6.71"/>
        <n v="2.56"/>
        <n v="11.17"/>
        <n v="17.86"/>
        <n v="55.81"/>
        <n v="29.1"/>
        <n v="53.03"/>
        <n v="37.58"/>
        <n v="7.03"/>
        <n v="5.59"/>
        <n v="10.17"/>
        <n v="8.7899999999999991"/>
        <n v="9.23"/>
        <n v="1.0900000000000001"/>
        <n v="7.98"/>
        <n v="6.93"/>
        <n v="3.39"/>
        <n v="9.44"/>
        <n v="4.91"/>
        <n v="10.119999999999999"/>
        <n v="58.64"/>
        <n v="52.42"/>
        <n v="0.93"/>
        <n v="6.17"/>
        <n v="7.17"/>
      </sharedItems>
    </cacheField>
    <cacheField name="Customer Name" numFmtId="0">
      <sharedItems count="163">
        <s v="Aleksandra Gannaway"/>
        <s v="Kean Thornton"/>
        <s v="Rob Lucas"/>
        <s v="Nora Paige"/>
        <s v="Eric Barreto"/>
        <s v="Sara Luxemburg"/>
        <s v="Adam Hart"/>
        <s v="Bobby Elias"/>
        <s v="Roland Fjeld"/>
        <s v="Bill Shonely"/>
        <s v="Dave Poirier"/>
        <s v="Denny Ordway"/>
        <s v="Bill Tyler"/>
        <s v="Maureen Gastineau"/>
        <s v="Alan Schoenberger"/>
        <s v="Charles Crestani"/>
        <s v="Christy Brittain"/>
        <s v="Paul Lucas"/>
        <s v="Bradley Drucker"/>
        <s v="Bryan Spruell"/>
        <s v="Tom Prescott"/>
        <s v="Brad Thomas"/>
        <s v="Karl Brown"/>
        <s v="Thomas Thornton"/>
        <s v="Anthony Garverick"/>
        <s v="Tamara Willingham"/>
        <s v="Dan Campbell"/>
        <s v="Thea Hendricks"/>
        <s v="David Kendrick"/>
        <s v="Luke Foster"/>
        <s v="Giulietta Dortch"/>
        <s v="Mark Haberlin"/>
        <s v="Evan Henry"/>
        <s v="Grant Thornton"/>
        <s v="Ellis Ballard"/>
        <s v="Eric Murdock"/>
        <s v="Jill Fjeld"/>
        <s v="Anne McFarland"/>
        <s v="Astrea Jones"/>
        <s v="Robert Barroso"/>
        <s v="Peter Buhler"/>
        <s v="Dean Katz"/>
        <s v="Karen Carlisle"/>
        <s v="Carlos Meador"/>
        <s v="Jennifer Patt"/>
        <s v="Cynthia Voltz"/>
        <s v="Barry Pond"/>
        <s v="Tony Molinari"/>
        <s v="Julia Barnett"/>
        <s v="Jeremy Pistek"/>
        <s v="Cyra Reiten"/>
        <s v="Brian Stugart"/>
        <s v="Yana Sorensen"/>
        <s v="Joni Wasserman"/>
        <s v="Aaron Hawkins"/>
        <s v="Victoria Pisteka"/>
        <s v="Dave Kipp"/>
        <s v="Shirley Jackson"/>
        <s v="David Bremer"/>
        <s v="Deanra Eno"/>
        <s v="Ed Braxton"/>
        <s v="Jill Matthias"/>
        <s v="Tim Taslimi"/>
        <s v="Muhammed Lee"/>
        <s v="Juliana Krohn"/>
        <s v="Darrin Sayre"/>
        <s v="Duane Noonan"/>
        <s v="Paul Van Hugh"/>
        <s v="Ed Jacobs"/>
        <s v="Janet Martin"/>
        <s v="Corey Roper"/>
        <s v="Darren Budd"/>
        <s v="Helen Andreada"/>
        <s v="Nicole Brennan"/>
        <s v="Ivan Liston"/>
        <s v="Brendan Murry"/>
        <s v="Amy Cox"/>
        <s v="Tracy Hopkins"/>
        <s v="Tom Ashbrook"/>
        <s v="Barry Weirich"/>
        <s v="Allen Armold"/>
        <s v="Maris LaWare"/>
        <s v="Mick Brown"/>
        <s v="Chris McAfee"/>
        <s v="Deborah Brumfield"/>
        <s v="Jay Fine"/>
        <s v="Benjamin Venier"/>
        <s v="Speros Goranitis"/>
        <s v="Pete Kriz"/>
        <s v="Irene Maddox"/>
        <s v="Patrick Bzostek"/>
        <s v="Emily Burns"/>
        <s v="Doug O'Connell"/>
        <s v="Corey Lock"/>
        <s v="Bart Folk"/>
        <s v="Michael Stewart"/>
        <s v="Harold Dahlen"/>
        <s v="Bobby Trafton"/>
        <s v="Elizabeth Moffitt"/>
        <s v="Alejandro Savely"/>
        <s v="Berenike Kampe"/>
        <s v="Noel Staavos"/>
        <s v="Damala Kotsonis"/>
        <s v="Corey Catlett"/>
        <s v="Mark Packer"/>
        <s v="Debra Catini"/>
        <s v="Emily Phan"/>
        <s v="Keith Herrera"/>
        <s v="Rick Huthwaite"/>
        <s v="George Zrebassa"/>
        <s v="Chris Cortes"/>
        <s v="Katherine Ducich"/>
        <s v="Raymond Fair"/>
        <s v="Natalie Webber"/>
        <s v="Alyssa Tate"/>
        <s v="Art Foster"/>
        <s v="Eugene Moren"/>
        <s v="Carol Darley"/>
        <s v="Maribeth Dona"/>
        <s v="Fred Harton"/>
        <s v="Andrew Allen"/>
        <s v="Art Miller"/>
        <s v="Cathy Armstrong"/>
        <s v="Christopher Martinez"/>
        <s v="Scott Cohen"/>
        <s v="Anthony O'Donnell"/>
        <s v="Lauren Leatherbury"/>
        <s v="Greg Matthias"/>
        <s v="Cynthia Delaney"/>
        <s v="Anthony Rawles"/>
        <s v="Barry Blumstein"/>
        <s v="Eva Jacobs"/>
        <s v="Sanjit Jacobs"/>
        <s v="Ken Lonsdale"/>
        <s v="Ricardo Block"/>
        <s v="Roger Barcio"/>
        <s v="Sung Pak"/>
        <s v="Tim Brockman"/>
        <s v="Sung Chung"/>
        <s v="Resi Polking"/>
        <s v="Roger Demir"/>
        <s v="Tamara Manning"/>
        <s v="Sue Ann Reed"/>
        <s v="John Murray"/>
        <s v="Shaun Chance"/>
        <s v="Darren Powers"/>
        <s v="Penelope Sewall"/>
        <s v="Mike Pelletier"/>
        <s v="Sharelle Roach"/>
        <s v="Pauline Webber"/>
        <s v="Quincy Jones"/>
        <s v="Lindsay Castell"/>
        <s v="Adam Bellavance"/>
        <s v="Ken Dana"/>
        <s v="Laurel Workman"/>
        <s v="Lisa Ryan"/>
        <s v="Max Engle"/>
        <s v="Helen Wasserman"/>
        <s v="Julia Dunbar"/>
        <s v="Carl Weiss"/>
        <s v="Chuck Clark"/>
        <s v="Darren Koutras"/>
        <s v="Roland Murray"/>
      </sharedItems>
    </cacheField>
    <cacheField name="Province" numFmtId="0">
      <sharedItems count="3">
        <s v="Yukon"/>
        <s v="British Columbia"/>
        <s v="Alberta"/>
      </sharedItems>
    </cacheField>
    <cacheField name="Region" numFmtId="0">
      <sharedItems count="2">
        <s v="Yukon"/>
        <s v="West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Product Category" numFmtId="0">
      <sharedItems containsBlank="1" count="4">
        <s v="Technology"/>
        <s v="Office Supplies"/>
        <s v="Furniture"/>
        <m/>
      </sharedItems>
    </cacheField>
    <cacheField name="Product Sub-Category" numFmtId="0">
      <sharedItems count="17">
        <s v="Computer Peripherals"/>
        <s v="Pens &amp; Art Supplies"/>
        <s v="Tables"/>
        <s v="Binders and Binder Accessories"/>
        <s v="Envelopes"/>
        <s v="Paper"/>
        <s v="Storage &amp; Organization"/>
        <s v="Telephones and Communication"/>
        <s v="Labels"/>
        <s v="Office Furnishings"/>
        <s v="Bookcases"/>
        <s v="Rubber Bands"/>
        <s v="Copiers and Fax"/>
        <s v="Appliances"/>
        <s v="Chairs &amp; Chairmats"/>
        <s v="Office Machines"/>
        <s v="Scissors, Rulers and Trimmers"/>
      </sharedItems>
    </cacheField>
    <cacheField name="Product Name" numFmtId="0">
      <sharedItems containsBlank="1" count="698">
        <s v="US Robotics 56K V.92 External Faxmodem"/>
        <s v="Boston School Pro Electric Pencil Sharpener, 1670"/>
        <s v="Hon iLevel™ Computer Training Table"/>
        <s v="Newell® 3-Hole Punched Plastic Slotted Magazine Holders for Binders"/>
        <s v="ACCOHIDE® Binder by Acco"/>
        <s v="#10- 4 1/8&quot; x 9 1/2&quot; Recycled Envelopes"/>
        <s v="Durable Pressboard Binders"/>
        <s v="Xerox 1899"/>
        <s v="Xerox 1929"/>
        <s v="Cardinal Poly Pocket Divider Pockets for Ring Binders"/>
        <s v="TDK 4.7GB DVD+RW"/>
        <s v="Xerox 1905"/>
        <s v="Decoflex Hanging Personal Folder File, Blue"/>
        <s v="5180"/>
        <s v="Fellowes Smart Design 104-Key Enhanced Keyboard, PS/2 Adapter, Platinum"/>
        <s v="Avery 48"/>
        <s v="Hot File® 7-Pocket, Floor Stand"/>
        <s v="Xerox 1939"/>
        <s v="iDEN i550"/>
        <s v="Multimedia Mailers"/>
        <s v="Dixon Prang® Watercolor Pencils, 10-Color Set with Brush"/>
        <s v="Newell 340"/>
        <s v="Economy Rollaway Files"/>
        <s v="Logitech Access Keyboard"/>
        <s v="BPI Conference Tables"/>
        <s v="Prang Drawing Pencil Set"/>
        <s v="Eldon® 500 Class™ Desk Accessories"/>
        <s v="Staples Brown Kraft Recycled Clasp Envelopes"/>
        <s v="GBC Instant Index™ System for Binding Systems"/>
        <s v="Avery 514"/>
        <s v="Eldon® Wave Desk Accessories"/>
        <s v="Eldon Portable Mobile Manager"/>
        <s v="Hanging Personal Folder File"/>
        <s v="O'Sullivan Elevations Bookcase, Cherry Finish"/>
        <s v="Microsoft Multimedia Keyboard"/>
        <s v="Executive Impressions 14&quot; Two-Color Numerals Wall Clock"/>
        <s v="Sanford 52201 APSCO Electric Pencil Sharpener"/>
        <s v="Tyvek® Side-Opening Peel &amp; Seel® Expanding Envelopes"/>
        <s v="Catalog Binders with Expanding Posts"/>
        <s v="Plymouth Boxed Rubber Bands by Plymouth"/>
        <s v="Imation Neon 80 Minute CD-R Spindle, 50/Pack"/>
        <s v="Bretford CR8500 Series Meeting Room Furniture"/>
        <s v="Wirebound Message Forms, Four 2 3/4 x 5 Forms per Page, Pink Paper"/>
        <s v="T18"/>
        <s v="Sanford Prismacolor® Professional Thick Lead Art Pencils, 36-Color Set"/>
        <s v="TOPS Money Receipt Book, Consecutively Numbered in Red,"/>
        <s v="Keytronic French Keyboard"/>
        <s v="Avery 506"/>
        <s v="Luxo Professional Fluorescent Magnifier Lamp with Clamp-Mount Base"/>
        <s v="Xerox 1966"/>
        <s v="Tenex Personal Project File with Scoop Front Design, Black"/>
        <s v="8890"/>
        <s v="Canon PC1060 Personal Laser Copier"/>
        <s v="Hon Non-Folding Utility Tables"/>
        <s v="Belkin 6 Outlet Metallic Surge Strip"/>
        <s v="Eldon Expressions Punched Metal &amp; Wood Desk Accessories, Pewter &amp; Cherry"/>
        <s v="Staples Plastic Wall Frames"/>
        <s v="3M Office Air Cleaner"/>
        <s v="Xerox 200"/>
        <s v="Eureka Sanitaire ® Multi-Pro Heavy-Duty Upright, Disposable Bags"/>
        <s v="Prismacolor Color Pencil Set"/>
        <s v="Staples Metal Binder Clips"/>
        <s v="G.E. Longer-Life Indoor Recessed Floodlight Bulbs"/>
        <s v="Newell 343"/>
        <s v="Assorted Color Push Pins"/>
        <s v="Xerox 1938"/>
        <s v="Bretford Rectangular Conference Table Tops"/>
        <s v="Eldon Regeneration Recycled Desk Accessories, Smoke"/>
        <s v="DAX Wood Document Frame"/>
        <s v="80 Minute CD-R Spindle, 100/Pack - Staples"/>
        <s v="Howard Miller Distant Time Traveler Alarm Clock"/>
        <s v="Chromcraft 48&quot; x 96&quot; Racetrack Double Pedestal Table"/>
        <s v="Maxell 3.5&quot; DS/HD IBM-Formatted Diskettes, 10/Pack"/>
        <s v="Global Deluxe High-Back Office Chair in Storm"/>
        <s v="Ampad® Evidence® Wirebond Steno Books, 6&quot; x 9&quot;"/>
        <s v="Acco Perma® 3000 Stacking Storage Drawers"/>
        <s v="Bevis Steel Folding Chairs"/>
        <s v="Panasonic KP-350BK Electric Pencil Sharpener with Auto Stop"/>
        <s v="Avery 494"/>
        <s v="Xerox 23"/>
        <s v="Hewlett-Packard Deskjet 5550 Color Inkjet Printer"/>
        <s v="Newell 336"/>
        <s v="Boston 16765 Mini Stand Up Battery Pencil Sharpener"/>
        <s v="Deflect-o DuraMat Antistatic Studded Beveled Mat for Medium Pile Carpeting"/>
        <s v="Executive Impressions 12&quot; Wall Clock"/>
        <s v="Canon F603 Scientific Calculator"/>
        <s v="Hammermill Color Copier Paper (28Lb. and 96 Bright)"/>
        <s v="Xerox 194"/>
        <s v="Nu-Dell Leatherette Frames"/>
        <s v="Xerox 1979"/>
        <s v="Tennsco Regal Shelving Units"/>
        <s v="T60"/>
        <s v="Imation Neon Mac Format Diskettes, 10/Pack"/>
        <s v="Global Leather Task Chair, Black"/>
        <s v="Safco Industrial Wire Shelving"/>
        <s v="SC7868i"/>
        <s v="Fellowes Premier Superior Surge Suppressor, 10-Outlet, With Phone and Remote"/>
        <s v="Sanford Colorific Colored Pencils, 12/Box"/>
        <s v="Zebra Zazzle Fluorescent Highlighters"/>
        <s v="Holmes Cool Mist Humidifier for the Whole House with 8-Gallon Output per Day, Extended Life Filter"/>
        <s v="Fellowes 17-key keypad for PS/2 interface"/>
        <s v="GBC Standard Plastic Binding Systems Combs"/>
        <s v="Canon PC940 Copier"/>
        <s v="Hand-Finished Solid Wood Document Frame"/>
        <s v="Bush Westfield Collection Bookcases, Dark Cherry Finish, Fully Assembled"/>
        <s v="g520"/>
        <s v="Master Caster Door Stop, Brown"/>
        <s v="Hoover Upright Vacuum With Dirt Cup"/>
        <s v="Xerox 207"/>
        <s v="Hewlett-Packard 4.7GB DVD+R Discs"/>
        <s v="AT&amp;T Black Trimline Phone, Model 210"/>
        <s v="600 Series Flip"/>
        <s v="Xerox 1930"/>
        <s v="Avery Binder Labels"/>
        <s v="Fellowes Binding Cases"/>
        <s v="Rush Hierlooms Collection Rich Wood Bookcases"/>
        <s v="StarTAC 3000"/>
        <s v="Adams Phone Message Book, 200 Message Capacity, 8 1/16” x 11”"/>
        <s v="Binney &amp; Smith inkTank™ Erasable Desk Highlighter, Chisel Tip, Yellow, 12/Box"/>
        <s v="2180"/>
        <s v="Belkin 105-Key Black Keyboard"/>
        <s v="Okidata Pacemark 4410N Wide Format Dot Matrix Printer"/>
        <s v="Acme Galleria® Hot Forged Steel Scissors with Colored Handles"/>
        <s v="Bevis Rectangular Conference Tables"/>
        <s v="Southworth Structures Collection™"/>
        <s v="Avery 487"/>
        <s v="TimeportP7382"/>
        <s v="5125"/>
        <s v="Kensington 6 Outlet SmartSocket Surge Protector"/>
        <s v="Ibico EB-19 Dual Function Manual Binding System"/>
        <s v="Honeywell Quietcare HEPA Air Cleaner"/>
        <s v="Avery 496"/>
        <s v="O'Sullivan 3-Shelf Heavy-Duty Bookcases"/>
        <s v="Crayola Colored Pencils"/>
        <s v="Belkin F5C206VTEL 6 Outlet Surge"/>
        <s v="Binder Posts"/>
        <s v="Storex DuraTech Recycled Plastic Frosted Binders"/>
        <s v="Wirebound Message Books, Four 2 3/4&quot; x 5&quot; Forms per Page, 600 Sets per Book"/>
        <s v="1726 Digital Answering Machine"/>
        <s v="Lock-Up Easel 'Spel-Binder'"/>
        <s v="Universal Premium White Copier/Laser Paper (20Lb. and 87 Bright)"/>
        <s v="Array® Memo Cubes"/>
        <s v="Avery Durable Binders"/>
        <s v="Document Clip Frames"/>
        <s v="LX 677"/>
        <s v="Panasonic KX-P1150 Dot Matrix Printer"/>
        <s v="Xerox 1910"/>
        <s v="Eldon Expressions Mahogany Wood Desk Collection"/>
        <s v="Hewlett-Packard Deskjet 6122 Color Inkjet Printer"/>
        <s v="Accessory34"/>
        <s v="Sony MFD2HD Formatted Diskettes, 10/Pack"/>
        <s v="Hon 4060 Series Tables"/>
        <s v="Accessory32"/>
        <s v="C-Line Peel &amp; Stick Add-On Filing Pockets, 8-3/4 x 5-1/8, 10/Pack"/>
        <s v="Hewlett-Packard 2600DN Business Color Inkjet Printer"/>
        <s v="Boston 16801 Nautilus™ Battery Pencil Sharpener"/>
        <s v="Canon Image Class D660 Copier"/>
        <s v="Talkabout T8367"/>
        <s v="Staples Battery-Operated Desktop Pencil Sharpener"/>
        <s v="Multi-Use Personal File Cart and Caster Set, Three Stacking Bins"/>
        <s v="Anderson Hickey Conga Table Tops &amp; Accessories"/>
        <s v="Recycled Eldon Regeneration Jumbo File"/>
        <s v="Kensington 4 Outlet MasterPiece® Compact Power Control Center"/>
        <s v="Eldon Radial Chair Mat for Low to Medium Pile Carpets"/>
        <s v="Bush Mission Pointe Library"/>
        <s v="Belkin ErgoBoard™ Keyboard"/>
        <s v="Newell 31"/>
        <s v="Atlantic Metals Mobile 5-Shelf Bookcases, Custom Colors"/>
        <s v="Epson DFX-8500 Dot Matrix Printer"/>
        <s v="Global Troy™ Executive Leather Low-Back Tilter"/>
        <s v="Targus USB Numeric Keypad"/>
        <s v="Conquest™ 14 Commercial Heavy-Duty Upright Vacuum, Collection System, Accessory Kit"/>
        <s v="Okidata ML390 Turbo Dot Matrix Printers"/>
        <s v="Hon 61000 Series Interactive Training Tables"/>
        <s v="V70"/>
        <s v="Xerox 1994"/>
        <s v="Staples 4 Outlet Surge Protector"/>
        <s v="OIC Thumb-Tacks"/>
        <s v="Global Deluxe Office Fabric Chairs"/>
        <s v="Park Ridge™ Embossed Executive Business Envelopes"/>
        <s v="Avery 49"/>
        <s v="Maxell DVD-RAM Discs"/>
        <s v="Staples Gold Paper Clips"/>
        <s v="PC Concepts 116 Key Quantum 3000 Keyboard"/>
        <s v="Home/Office Personal File Carts"/>
        <s v="Accohide Poly Flexible Ring Binders"/>
        <s v="Electrix 20W Halogen Replacement Bulb for Zoom-In Desk Lamp"/>
        <s v="Global Commerce™ Series High-Back Swivel/Tilt Chairs"/>
        <s v="Tensor &quot;Hersey Kiss&quot; Styled Floor Lamp"/>
        <s v="#10 Self-Seal White Envelopes"/>
        <s v="Canon BP1200DH 12-Digit Bubble Jet Printing Calculator"/>
        <s v="Career Cubicle Clock, 8 1/4&quot;, Black"/>
        <s v="i1000"/>
        <s v="Lexmark 4227 Plus Dot Matrix Printer"/>
        <s v="Dana Fluorescent Magnifying Lamp, White, 36&quot;"/>
        <s v="9-3/4 Diameter Round Wall Clock"/>
        <s v="Angle-D Binders with Locking Rings, Label Holders"/>
        <s v="Boston 1730 StandUp Electric Pencil Sharpener"/>
        <s v="Belkin F9M820V08 8 Outlet Surge"/>
        <s v="Newell 323"/>
        <s v="Okidata ML591 Wide Format Dot Matrix Printer"/>
        <s v="Ibico Presentation Index for Binding Systems"/>
        <s v="While You Were Out Pads, 50 per Pad, 4 x 5 1/4, Green Cycle"/>
        <s v="Bevis 36 x 72 Conference Tables"/>
        <s v="Office Impressions Heavy Duty Welded Shelving &amp; Multimedia Storage Drawers"/>
        <s v="Acme® Box Cutter Scissors"/>
        <s v="Office Star - Contemporary Task Swivel chair with 2-way adjustable arms, Plum"/>
        <s v="Xerox 1908"/>
        <s v="282"/>
        <s v="Xerox 1897"/>
        <s v="Bevis Round Conference Table Top, X-Base"/>
        <s v="Epson LQ-570e Dot Matrix Printer"/>
        <s v="Avery Hi-Liter® Smear-Safe Highlighters"/>
        <s v="Dixon Ticonderoga Core-Lock Colored Pencils, 48-Color Set"/>
        <s v="Bevis Round Bullnose 29&quot; High Table Top"/>
        <s v="210 Trimline Phone, White"/>
        <s v="Fellowes Super Stor/Drawer® Files"/>
        <s v="3M Polarizing Task Lamp with Clamp Arm, Light Gray"/>
        <s v="2190"/>
        <s v="Premium Writing Pencils, Soft, #2 by Central Association for the Blind"/>
        <s v="Canon MP100DHII Printing Calculator"/>
        <s v="Holmes Odor Grabber"/>
        <s v="Southworth 25% Cotton Linen-Finish Paper &amp; Envelopes"/>
        <s v="Bretford “Just In Time” Height-Adjustable Multi-Task Work Tables"/>
        <s v="Standard Line™ “While You Were Out” Hardbound Telephone Message Book"/>
        <s v="Lesro Sheffield Collection Coffee Table, End Table, Center Table, Corner Table"/>
        <s v="Storex Dura Pro™ Binders"/>
        <s v="Electrix Halogen Magnifier Lamp"/>
        <s v="Eldon Shelf Savers™ Cubes and Bins"/>
        <s v="Eldon® Expressions™ Wood Desk Accessories, Oak"/>
        <s v="Peel &amp; Seel® Recycled Catalog Envelopes, Brown"/>
        <s v="Office Star - Professional Matrix Back Chair with 2-to-1 Synchro Tilt and Mesh Fabric Seat"/>
        <s v="Sanyo Counter Height Refrigerator with Crisper, 3.6 Cubic Foot, Stainless Steel/Black"/>
        <s v="Adams Telephone Message Books, 5 1/4” x 11”"/>
        <s v="Vinyl Sectional Post Binders"/>
        <s v="Accessory36"/>
        <s v="Accessory25"/>
        <s v="Global Enterprise Series Seating High-Back Swivel/Tilt Chairs"/>
        <s v="Office Star - Ergonomic Mid Back Chair with 2-Way Adjustable Arms"/>
        <s v="Speediset Carbonless Redi-Letter® 7&quot; x 8 1/2&quot;"/>
        <s v="Lexmark Z55se Color Inkjet Printer"/>
        <s v="Carina Mini System Audio Rack, Model AR050B"/>
        <s v="Hoover Portapower™ Portable Vacuum"/>
        <s v="Belkin MediaBoard 104- Keyboard"/>
        <s v="Ibico Hi-Tech Manual Binding System"/>
        <s v="Xerox 1949"/>
        <s v="Bretford CR4500 Series Slim Rectangular Table"/>
        <s v="Accessory41"/>
        <s v="Harmony HEPA Quiet Air Purifiers"/>
        <s v="Smead Adjustable Mobile File Trolley with Lockable Top"/>
        <s v="Sharp AL-1530CS Digital Copier"/>
        <s v="Dual Level, Single-Width Filing Carts"/>
        <s v="Imation 3.5&quot; IBM-Formatted Diskettes, 10/Pack"/>
        <s v="Xerox 1992"/>
        <s v="Bell Sonecor JB700 Caller ID"/>
        <s v="Ultra Door Pull Handle"/>
        <s v="Desktop 3-Pocket Hot File®"/>
        <s v="Newell 342"/>
        <s v="Avery 52"/>
        <s v="V 3600 Series"/>
        <s v="Newell 309"/>
        <s v="Southworth 25% Cotton Premium Laser Paper and Envelopes"/>
        <s v="Timeport L7089"/>
        <s v="6120"/>
        <s v="TDK 4.7GB DVD-R"/>
        <s v="Bagged Rubber Bands"/>
        <s v="Global Leather Highback Executive Chair with Pneumatic Height Adjustment, Black"/>
        <s v="Bevis Round Conference Table Top &amp; Single Column Base"/>
        <s v="Xerox 1991"/>
        <s v="R289LX"/>
        <s v="Surelock™ Post Binders"/>
        <s v="Imation DVD-RAM discs"/>
        <s v="Canon imageCLASS 2200 Advanced Copier"/>
        <s v="Memorex 4.7GB DVD-RAM, 3/Pack"/>
        <s v="Adesso Programmable 142-Key Keyboard"/>
        <s v="Black Print Carbonless Snap-Off® Rapid Letter, 8 1/2&quot; x 7&quot;"/>
        <s v="O'Sullivan Living Dimensions 3-Shelf Bookcases"/>
        <s v="Eldon Expressions™ Desk Accessory, Wood Pencil Holder, Oak"/>
        <s v="Newell 314"/>
        <s v="Xerox 1895"/>
        <s v="GE 48&quot; Fluorescent Tube, Cool White Energy Saver, 34 Watts, 30/Box"/>
        <s v="Staples Surge Protector 6 outlet"/>
        <s v="#10 White Business Envelopes,4 1/8 x 9 1/2"/>
        <s v="Deflect-o EconoMat Nonstudded, No Bevel Mat"/>
        <s v="5170i"/>
        <s v="Wilson Jones® Four-Pocket Poly Binders"/>
        <s v="Xerox 210"/>
        <s v="Xerox 1933"/>
        <s v="Acco Four Pocket Poly Ring Binder with Label Holder, Smoke, 1&quot;"/>
        <s v="Avery® Durable Plastic 1&quot; Binders"/>
        <s v="Hoover® Commercial Lightweight Upright Vacuum"/>
        <s v="Hunt BOSTON® Vista® Battery-Operated Pencil Sharpener, Black"/>
        <s v="Acme® 8&quot; Straight Scissors"/>
        <s v="Xerox 191"/>
        <s v="Avery Hole Reinforcements"/>
        <s v="Airmail Envelopes"/>
        <s v="Avery Trapezoid Extra Heavy Duty 4&quot; Binders"/>
        <s v="Elite 5&quot; Scissors"/>
        <s v="Xerox 198"/>
        <s v="Jet-Pak Recycled Peel 'N' Seal Padded Mailers"/>
        <s v="Round Ring Binders"/>
        <s v="4009® Highlighters by Sanford"/>
        <s v="Avery 491"/>
        <s v="Sterilite Officeware Hinged File Box"/>
        <s v="Rediform Wirebound &quot;Phone Memo&quot; Message Book, 11 x 5-3/4"/>
        <s v="Newell 326"/>
        <s v="Holmes Replacement Filter for HEPA Air Cleaner, Very Large Room, HEPA Filter"/>
        <s v="Memorex 80 Minute CD-R Spindle, 100/Pack"/>
        <s v="Seth Thomas 14&quot; Putty-Colored Wall Clock"/>
        <s v="Filing/Storage Totes and Swivel Casters"/>
        <s v="Xerox 1989"/>
        <s v="Berol Giant Pencil Sharpener"/>
        <s v="Hon 2111 Invitation™ Series Corner Table"/>
        <s v="Belkin 8 Outlet SurgeMaster II Gold Surge Protector"/>
        <s v="Office Star Flex Back Scooter Chair with Aluminum Finish Frame"/>
        <s v="80 Minute Slim Jewel Case CD-R , 10/Pack - Staples"/>
        <s v="Fellowes Recycled Storage Drawers"/>
        <s v="Acco PRESSTEX® Data Binder with Storage Hooks, Dark Blue, 9 1/2&quot; X 11&quot;"/>
        <s v="Newell 337"/>
        <s v="Xerox 1881"/>
        <s v="Xerox 1984"/>
        <s v="Eldon® Gobal File Keepers"/>
        <s v="Acme Design Line 8&quot; Stainless Steel Bent Scissors w/Champagne Handles, 3-1/8&quot; Cut"/>
        <s v="Gyration RF Keyboard"/>
        <s v="Howard Miller 12-3/4 Diameter Accuwave DS ™ Wall Clock"/>
        <s v="SAFCO Folding Chair Trolley"/>
        <s v="Avery 51"/>
        <s v="Avery Flip-Chart Easel Binder, Black"/>
        <s v="Novimex Fabric Task Chair"/>
        <s v="Newell 335"/>
        <s v="Peel &amp; Stick Add-On Corner Pockets"/>
        <s v="Accessory2"/>
        <s v="Bush Westfield Collection Bookcases, Fully Assembled"/>
        <s v="Hon Metal Bookcases, Black"/>
        <s v="Lesro Round Back Collection Coffee Table, End Table"/>
        <s v="3M Organizer Strips"/>
        <s v="Avery 498"/>
        <s v="Hewlett-Packard cp1700 [D, PS] Series Color Inkjet Printers"/>
        <s v="StarTAC 7760"/>
        <s v="Eldon® 400 Class™ Desk Accessories, Black Carbon"/>
        <s v="Array® Parchment Paper, Assorted Colors"/>
        <s v="Belkin OmniView SE Rackmount Kit"/>
        <s v="SAFCO PlanMaster Heigh-Adjustable Drafting Table Base, 43w x 30d x 30-37h, Black"/>
        <s v="Sterling Rubber Bands by Alliance"/>
        <s v="V2397"/>
        <s v="3M Polarizing Light Filter Sleeves"/>
        <s v="Bionaire Personal Warm Mist Humidifier/Vaporizer"/>
        <s v="Computer Printout Paper with Letter-Trim Perforations"/>
        <s v="Southworth 25% Cotton Antique Laid Paper &amp; Envelopes"/>
        <s v="Magna Visual Magnetic Picture Hangers"/>
        <s v="Newell 320"/>
        <s v="Deflect-o SuperTray™ Unbreakable Stackable Tray, Letter, Black"/>
        <s v="Hon 2090 “Pillow Soft” Series Mid Back Swivel/Tilt Chairs"/>
        <s v="Project Tote Personal File"/>
        <s v="Imation 3.5&quot;, DISKETTE 44766 HGHLD3.52HD/FM, 10/Pack"/>
        <m/>
        <s v="SAFCO Arco Folding Chair"/>
        <s v="Newell 346"/>
        <s v="Tyvek ® Top-Opening Peel &amp; Seel ® Envelopes, Gray"/>
        <s v="*Staples* Letter Opener"/>
        <s v="Brown Kraft Recycled Envelopes"/>
        <s v="Holmes Harmony HEPA Air Purifier for 17 x 20 Room"/>
        <s v="Sharp EL501VB Scientific Calculator, Battery Operated, 10-Digit Display, Hard Case"/>
        <s v="Hon 4070 Series Pagoda™ Armless Upholstered Stacking Chairs"/>
        <s v="Hon Valutask™ Swivel Chairs"/>
        <s v="Xerox 190"/>
        <s v="Barrel Sharpener"/>
        <s v="Sharp EL500L Fraction Calculator"/>
        <s v="BOSTON® Ranger® #55 Pencil Sharpener, Black"/>
        <s v="Avery Self-Adhesive Photo Pockets for Polaroid Photos"/>
        <s v="GBC Wire Binding Strips"/>
        <s v="VTech VT20-2481 2.4GHz Two-Line Phone System w/Answering Machine"/>
        <s v="6&quot; Cubicle Wall Clock, Black"/>
        <s v="Coloredge Poster Frame"/>
        <s v="Xerox 1880"/>
        <s v="Newell 312"/>
        <s v="CF 688"/>
        <s v="Xerox 1983"/>
        <s v="Trimflex™ Flexible Post Binders"/>
        <s v="Blue String-Tie &amp; Button Interoffice Envelopes, 10 x 13"/>
        <s v="i2000"/>
        <s v="Xerox 1898"/>
        <s v="Acco 3-Hole Punch"/>
        <s v="Fellowes Bankers Box™ Staxonsteel® Drawer File/Stacking System"/>
        <s v="Office Star - Mid Back Dual function Ergonomic High Back Chair with 2-Way Adjustable Arms"/>
        <s v="Accessory21"/>
        <s v="Verbatim DVD-RAM, 5.2GB, Rewritable, Type 1, DS"/>
        <s v="EcoTones® Memo Sheets"/>
        <s v="Lifetime Advantage™ Folding Chairs, 4/Carton"/>
        <s v="Honeywell Enviracaire® Portable Air Cleaner for up to 8 x 10 Room"/>
        <s v="Staples® General Use 3-Ring Binders"/>
        <s v="Tenex Contemporary Contur Chairmats for Low and Medium Pile Carpet, Computer, 39&quot; x 49&quot;"/>
        <s v="GBC Plastic Binding Combs"/>
        <s v="DAX Metal Frame, Desktop, Stepped-Edge"/>
        <s v="Eldon Simplefile® Box Office®"/>
        <s v="Avery 493"/>
        <s v="Hon 94000 Series Round Tables"/>
        <s v="Sanford Pocket Accent® Highlighters"/>
        <s v="Staples SlimLine Pencil Sharpener"/>
        <s v="Hewlett-Packard Deskjet 940 REFURBISHED Color Inkjet Printer"/>
        <s v="Xerox 4200 Series MultiUse Premium Copy Paper (20Lb. and 84 Bright)"/>
        <s v="GBC VeloBinder Electric Binding Machine"/>
        <s v="Imation 3.5 IBM Formatted Diskettes, 10/Box"/>
        <s v="V3682"/>
        <s v="Unpadded Memo Slips"/>
        <s v="Cardinal Slant-D® Ring Binder, Heavy Gauge Vinyl"/>
        <s v="Eldon Image Series Black Desk Accessories"/>
        <s v="SC-3160"/>
        <s v="Safco Value Mate Steel Bookcase, Baked Enamel Finish on Steel, Black"/>
        <s v="Xerox 1893"/>
        <s v="T28 WORLD"/>
        <s v="Xerox 1920"/>
        <s v="Howard Miller 13&quot; Diameter Goldtone Round Wall Clock"/>
        <s v="T65"/>
        <s v="Adams Write n' Stick Phone Message Book, 11&quot; X 5 1/4&quot;, 200 Messages"/>
        <s v="Staples Wirebound Steno Books, 6&quot; x 9&quot;, 12/Pack"/>
        <s v="Okidata ML184 Turbo Dot Matrix Printers"/>
        <s v="Xerox 197"/>
        <s v="Global Push Button Manager's Chair, Indigo"/>
        <s v="Polycom ViewStation™ Adapter H323 Videoconferencing Unit"/>
        <s v="R280"/>
        <s v="Wilson Jones 1&quot; Hanging DublLock® Ring Binders"/>
        <s v="Important Message Pads, 50 4-1/4 x 5-1/2 Forms per Pad"/>
        <s v="JM Magazine Binder"/>
        <s v="Eaton Premium Continuous-Feed Paper, 25% Cotton, Letter Size, White, 1000 Shts/Box"/>
        <s v="Space Solutions™ Industrial Galvanized Steel Shelving."/>
        <s v="KF 788"/>
        <s v="Telephone Message Books with Fax/Mobile Section, 4 1/4&quot; x 6&quot;"/>
        <s v="#10- 4 1/8&quot; x 9 1/2&quot; Security-Tint Envelopes"/>
        <s v="Wilson Jones Hanging View Binder, White, 1&quot;"/>
        <s v="Seth Thomas 13 1/2&quot; Wall Clock"/>
        <s v="Wilson Jones 14 Line Acrylic Coated Pressboard Data Binders"/>
        <s v="White GlueTop Scratch Pads"/>
        <s v="Ibico Ibimaster 300 Manual Binding System"/>
        <s v="Master Big Foot® Doorstop, Beige"/>
        <s v="GBC DocuBind 200 Manual Binding Machine"/>
        <s v="Sauder Forest Hills Library, Woodland Oak Finish"/>
        <s v="Xerox 1954"/>
        <s v="Avery Hanging File Binders"/>
        <s v="Tenex Traditional Chairmats for Medium Pile Carpet, Standard Lip, 36&quot; x 48&quot;"/>
        <s v="Hewlett-Packard Deskjet 1220Cse Color Inkjet Printer"/>
        <s v="Wirebound Service Call Books, 5 1/2&quot; x 4&quot;"/>
        <s v="Staples Bulldog Clip"/>
        <s v="KI Conference Tables"/>
        <s v="KH 688"/>
        <s v="Hon 4070 Series Pagoda™ Round Back Stacking Chairs"/>
        <s v="Accessory29"/>
        <s v="Avery Hi-Liter® Fluorescent Desk Style Markers"/>
        <s v="Bush Advantage Collection® Round Conference Table"/>
        <s v="12-1/2 Diameter Round Wall Clock"/>
        <s v="DAX Solid Wood Frames"/>
        <s v="Verbatim 4.7GB DVD-R"/>
        <s v="Snap-A-Way® Black Print Carbonless Ruled Speed Letter, Triplicate"/>
        <s v="Avery Printable Repositionable Plastic Tabs"/>
        <s v="Wilson Jones Impact Binders"/>
        <s v="Acco Smartsocket® Color-Coded Six-Outlet AC Adapter Model Surge Protectors"/>
        <s v="Eureka Disposable Bags for Sanitaire® Vibra Groomer I® Upright Vac"/>
        <s v="Xerox 1973"/>
        <s v="Xerox 21"/>
        <s v="*Staples* Highlighting Markers"/>
        <s v="Electrix Incandescent Magnifying Lamp, Black"/>
        <s v="X-Rack™ File for Hanging Folders"/>
        <s v="Chromcraft Bull-Nose Wood Oval Conference Tables &amp; Bases"/>
        <s v="Avery 508"/>
        <s v="Newell 307"/>
        <s v="Avery Reinforcements for Hole-Punch Pages"/>
        <s v="Fiskars 8&quot; Scissors, 2/Pack"/>
        <s v="BoxOffice By Design Rectangular and Half-Moon Meeting Room Tables"/>
        <s v="Kensington 6 Outlet MasterPiece® HOMEOFFICE Power Control Center"/>
        <s v="Newell 338"/>
        <s v="Avery Hi-Liter Pen Style Six-Color Fluorescent Set"/>
        <s v="Executive Impressions 13&quot; Clairmont Wall Clock"/>
        <s v="Prang Colored Pencils"/>
        <s v="Rediform S.O.S. Phone Message Books"/>
        <s v="Advantus Push Pins, Aluminum Head"/>
        <s v="Office Star - Task Chair with Contemporary Loop Arms"/>
        <s v="Wilson Jones Suede Grain Vinyl Binders"/>
        <s v="DAX Copper Panel Document Frame, 5 x 7 Size"/>
        <s v="Deflect-O® Glasstique™ Clear Desk Accessories"/>
        <s v="T39m"/>
        <s v="Rubbermaid ClusterMat Chairmats, Mat Size- 66&quot; x 60&quot;, Lip 20&quot; x 11&quot; -90 Degree Angle"/>
        <s v="Xerox 1961"/>
        <s v="Colored Push Pins"/>
        <s v="Message Book, Standard Line &quot;While You Were Out&quot;, 5 1/2&quot; X 4&quot;, 200 Sets/Book"/>
        <s v="Avery 481"/>
        <s v="StarTAC Series"/>
        <s v="SAFCO Mobile Desk Side File, Wire Frame"/>
        <s v="Memorex 80 Minute CD-R, 30/Pack"/>
        <s v="Staples Standard Envelopes"/>
        <s v="AT&amp;T 1430 2.4GHz Analog Phone w/Caller ID"/>
        <s v="Fellowes Basic 104-Key Keyboard, Platinum"/>
        <s v="UniKeep™ View Case Binders"/>
        <s v="Manila Recycled Extra-Heavyweight Clasp Envelopes, 6&quot; x 9&quot;"/>
        <s v="Heavy-Duty E-Z-D® Binders"/>
        <s v="Serrated Blade or Curved Handle Hand Letter Openers"/>
        <s v="Avery White Multi-Purpose Labels"/>
        <s v="Flat Face Poster Frame"/>
        <s v="1/4 Fold Party Design Invitations &amp; White Envelopes, 24 8-1/2&quot; X 11&quot; Cards, 25 Env./Pack"/>
        <s v="252"/>
        <s v="Newell 333"/>
        <s v="5185"/>
        <s v="Xerox 1885"/>
        <s v="GBC White Gloss Covers, Plain Front"/>
        <s v="Quartet Omega® Colored Chalk, 12/Pack"/>
        <s v="Steel Personal Filing/Posting Tote"/>
        <s v="Acme® Elite Stainless Steel Scissors"/>
        <s v="Fellowes Twister Kit, Gray/Clear, 3/pkg"/>
        <s v="Acme Hot Forged Carbon Steel Scissors with Nickel-Plated Handles, 3 7/8&quot; Cut, 8&quot;L"/>
        <s v="5190"/>
        <s v="Fiskars® Softgrip Scissors"/>
        <s v="Xerox 1993"/>
        <s v="Accessory8"/>
        <s v="Executive Impressions 13-1/2&quot; Indoor/Outdoor Wall Clock"/>
        <s v="Eldon Wave Desk Accessories"/>
        <s v="Chromcraft Rectangular Conference Tables"/>
        <s v="Xerox 1971"/>
        <s v="Keytronic 105-Key Spanish Keyboard"/>
        <s v="Martin Yale Chadless Opener Electric Letter Opener"/>
        <s v="Prang Dustless Chalk Sticks"/>
        <s v="Belkin 8 Outlet SurgeMaster II Gold Surge Protector with Phone Protection"/>
        <s v="Memorex 'Cool' 80 Minute CD-R Spindle, 25/Pack"/>
        <s v="Cardinal Holdit Business Card Pockets"/>
        <s v="Xerox 199"/>
        <s v="StarTAC 6500"/>
        <s v="Brites Rubber Bands, 1 1/2 oz. Box"/>
        <s v="GBC VeloBinder Strips"/>
        <s v="Advantus Employee of the Month Certificate Frame, 11 x 13-1/2"/>
        <s v="Belkin 8 Outlet Surge Protector"/>
        <s v="Master Giant Foot® Doorstop, Safety Yellow"/>
        <s v="Self-Adhesive Address Labels for Typewriters by Universal"/>
        <s v="Post-it® “Important Message” Note Pad, Neon Colors, 50 Sheets/Pad"/>
        <s v="Xerox 1937"/>
        <s v="Xerox 1977"/>
        <s v="Xerox 188"/>
        <s v="Fellowes Staxonsteel® Drawer Files"/>
        <s v="Nu-Dell Executive Frame"/>
        <s v="&quot;While you Were Out&quot; Message Book, One Form per Page"/>
        <s v="Imation 3.5&quot; DS/HD IBM Formatted Diskettes, 50/Pack"/>
        <s v="Xerox 19"/>
        <s v="636"/>
        <s v="Balt Solid Wood Rectangular Table"/>
        <s v="Xerox 1923"/>
        <s v="Eldon Executive Woodline II Cherry Finish Desk Accessories"/>
        <s v="Accessory31"/>
        <s v="Riverside Palais Royal Lawyers Bookcase, Royale Cherry Finish"/>
        <s v="Advantus Panel Wall Acrylic Frame"/>
        <s v="Wilson Jones Custom Binder Spines &amp; Labels"/>
        <s v="Sharp 1540cs Digital Laser Copier"/>
        <s v="Acco PRESSTEX® Data Binder with Storage Hooks, Dark Blue, 14 7/8&quot; X 11&quot;"/>
        <s v="Iris® 3-Drawer Stacking Bin, Black"/>
        <s v="Logitech Cordless Access Keyboard"/>
        <s v="Executive Impressions 13&quot; Chairman Wall Clock"/>
        <s v="Letter Slitter"/>
        <s v="Bush Heritage Pine Collection 5-Shelf Bookcase, Albany Pine Finish, *Special Order"/>
        <s v="i470"/>
        <s v="Global Adaptabilities™ Conference Tables"/>
        <s v="Bush® Cubix Conference Tables, Fully Assembled"/>
        <s v="Avery Legal 4-Ring Binder"/>
        <s v="Avery 474"/>
        <s v="Global Leather Executive Chair"/>
        <s v="Acme® Preferred Stainless Steel Scissors"/>
        <s v="DMI Eclipse Executive Suite Bookcases"/>
        <s v="Xerox 1936"/>
        <s v="3285"/>
        <s v="Microsoft Natural Keyboard Elite"/>
        <s v="IBM Numeric Access II Keypad, 17-Key, Black"/>
        <s v="Imation IBM Formatted Diskettes, 100/Pack"/>
        <s v="Atlantic Metals Mobile 2-Shelf Bookcases, Custom Colors"/>
        <s v="Advantus Push Pins"/>
        <s v="Wirebound Voice Message Log Book"/>
        <s v="Logitech Cordless Keyboard"/>
        <s v="Luxo Professional Combination Clamp-On Lamps"/>
        <s v="Xerox 1959"/>
        <s v="LX 788"/>
        <s v="Accessory35"/>
        <s v="Master Caster Door Stop, Gray"/>
        <s v="Accessory27"/>
        <s v="Acco Pressboard Covers with Storage Hooks, 14 7/8&quot; x 11&quot;, Light Blue"/>
        <s v="Accessory6"/>
        <s v="Phone 918"/>
        <s v="Eldon Cleatmat® Chair Mats for Medium Pile Carpets"/>
        <s v="Hon Rectangular Conference Tables"/>
        <s v="Fellowes Officeware™ Wire Shelving"/>
        <s v="US Robotics 56K V.92 Internal PCI Faxmodem"/>
        <s v="Accessory39"/>
        <s v="Carina Double Wide Media Storage Towers in Natural &amp; Black"/>
        <s v="Tennsco Snap-Together Open Shelving Units, Starter Sets and Add-On Units"/>
        <s v="Memorex 4.7GB DVD+RW, 3/Pack"/>
        <s v="Belkin 107-key enhanced keyboard, USB/PS/2 interface"/>
        <s v="GBC DocuBind P100 Manual Binding Machine"/>
        <s v="Staples Colored Interoffice Envelopes"/>
        <s v="Portable Personal File Box"/>
        <s v="Xerox 1928"/>
        <s v="Advantus 10-Drawer Portable Organizer, Chrome Metal Frame, Smoke Drawers"/>
        <s v="Binder Clips by OIC"/>
        <s v="SAFCO Optional Arm Kit for Workspace® Cribbage Stacking Chair"/>
        <s v="Xerox 1896"/>
        <s v="Acco Clips to Go™ Binder Clips, 24 Clips in Two Sizes"/>
        <s v="Fellowes Smart Surge Ten-Outlet Protector, Platinum"/>
        <s v="Carina 42&quot;Hx23 3/4&quot;W Media Storage Unit"/>
        <s v="StarTAC 7797"/>
        <s v="Holmes 99% HEPA Air Purifier"/>
        <s v="Self-Adhesive Ring Binder Labels"/>
        <s v="White Business Envelopes with Contemporary Seam, Recycled White Business Envelopes"/>
        <s v="Hewlett Packard LaserJet 3310 Copier"/>
        <s v="Dana Halogen Swing-Arm Architect Lamp"/>
        <s v="Xerox 2"/>
        <s v="Flexible Leather- Look Classic Collection Ring Binder"/>
        <s v="V66"/>
        <s v="3390"/>
        <s v="Xerox Blank Computer Paper"/>
        <s v="SANFORD Major Accent™ Highlighters"/>
        <s v="Xerox 1950"/>
        <s v="270c"/>
        <s v="Imation 3.5&quot;, RTS 247544 3M 3.5 DSDD, 10/Pack"/>
        <s v="Sony IBM Color Diskettes, 25/Pack"/>
        <s v="Imation Primaris 3.5&quot; 2HD Unformatted Diskettes, 10/Pack"/>
        <s v="Newell 327"/>
        <s v="Eureka Recycled Copy Paper 8 1/2&quot; x 11&quot;, Ream"/>
        <s v="Kensington 7 Outlet MasterPiece® HOMEOFFICE Power Control Center"/>
        <s v="Xerox 213"/>
        <s v="Fellowes Bankers Box™ Stor/Drawer® Steel Plus™"/>
        <s v="O'Sullivan 2-Shelf Heavy-Duty Bookcases"/>
        <s v="Newell 315"/>
        <s v="Pressboard Data Binder, Crimson, 12&quot; X 8 1/2&quot;"/>
        <s v="Holmes Replacement Filter for HEPA Air Cleaner, Medium Room"/>
        <s v="Global High-Back Leather Tilter, Burgundy"/>
        <s v="GE 4 Foot Flourescent Tube, 40 Watt"/>
        <s v="Avery 05222 Permanent Self-Adhesive File Folder Labels for Typewriters, on Rolls, White, 250/Roll"/>
        <s v="7160"/>
        <s v="GBC Therma-A-Bind 250T Electric Binding System"/>
        <s v="Xerox 196"/>
        <s v="Xerox 1932"/>
        <s v="Tuff Stuff™ Recycled Round Ring Binders"/>
        <s v="Wirebound Message Books, 2 7/8&quot; x 5&quot;, 3 Forms per Page"/>
        <s v="Gyration Ultra Professional Cordless Optical Suite"/>
        <s v="TIMEPORT P8767"/>
        <s v="Xerox 1963"/>
        <s v="GBC Laser Imprintable Binding System Covers, Desert Sand"/>
        <s v="Polycom ViewStation™ ISDN Videoconferencing Unit"/>
        <s v="Avery Hi-Liter® EverBold™ Pen Style Fluorescent Highlighters, 4/Pack"/>
        <s v="Staples 6 Outlet Surge"/>
        <s v="Fellowes Bases and Tops For Staxonsteel®/High-Stak® Systems"/>
        <s v="Westinghouse Clip-On Gooseneck Lamps"/>
        <s v="Accessory4"/>
        <s v="Seth Thomas 12&quot; Clock w/ Goldtone Case"/>
        <s v="Avery 484"/>
        <s v="Riverleaf Stik-Withit® Designer Note Cubes®"/>
        <s v="GBC Prepunched Paper, 19-Hole, for Binding Systems, 24-lb"/>
        <s v="Recycled Interoffice Envelopes with String and Button Closure, 10 x 13"/>
        <s v="StarTAC ST7762"/>
        <s v="Ames Color-File® Green Diamond Border X-ray Mailers"/>
        <s v="Xerox 1934"/>
        <s v="Hon Olson Stacker Stools"/>
        <s v="Xerox 1894"/>
        <s v="Kleencut® Forged Office Shears by Acme United Corporation"/>
        <s v="Telescoping Adjustable Floor Lamp"/>
        <s v="Panasonic KX-P1131 Dot Matrix Printer"/>
        <s v="O'Sullivan 5-Shelf Heavy-Duty Bookcases"/>
        <s v="Eldon Jumbo ProFile™ Portable File Boxes Graphite/Black"/>
        <s v="Nu-Form 106-Key Ergonomic Keyboard w/ Touchpad"/>
        <s v="Xerox 1891"/>
        <s v="Chromcraft Bull-Nose Wood Round Conference Table Top, Wood Base"/>
        <s v="Canon PC-428 Personal Copier"/>
        <s v="Gyration Ultra Cordless Optical Suite"/>
        <s v="Tennsco Lockers, Gray"/>
        <s v="Tenex Carpeted, Granite-Look or Clear Contemporary Contour Shape Chair Mats"/>
        <s v="Xerox 214"/>
        <s v="Wilson Jones “Snap” Scratch Pad Binder Tool for Ring Binders"/>
        <s v="Canon MP25DIII Desktop Whisper-Quiet Printing Calculator"/>
        <s v="Dixon My First Ticonderoga Pencil, #2"/>
        <s v="2300 Heavy-Duty Transfer File Systems by Perma"/>
        <s v="Xerox 1887"/>
        <s v="Hoover Commercial Soft Guard Upright Vacuum And Disposable Filtration Bags"/>
        <s v="Office Star Flex Back Scooter Chair with White Frame"/>
        <s v="Avery 485"/>
        <s v="Honeywell Enviracaire® Portable HEPA Air Cleaner for up to 10 x 16 Room"/>
        <s v="Fellowes Mighty 8 Compact Surge Protector"/>
        <s v="Peel-Off® China Markers"/>
        <s v="Bush Advantage Collection® Racetrack Conference Table"/>
        <s v="Accessory13"/>
        <s v="Master Caster Door Stop, Large Neon Orange"/>
        <s v="DAX Natural Wood-Tone Poster Frame"/>
        <s v="Advantus Plastic Paper Clips"/>
        <s v="Hewlett Packard 6S Scientific Calculator"/>
        <s v="Xerox 1986"/>
        <s v="Boston KS Multi-Size Manual Pencil Sharpener"/>
        <s v="Avery 4027 File Folder Labels for Dot Matrix Printers, 5000 Labels per Box, White"/>
        <s v="Eldon Antistatic Chair Mats for Low to Medium Pile Carpets"/>
        <s v="MicroTAC 650"/>
        <s v="O'Sullivan Living Dimensions 2-Shelf Bookcases"/>
        <s v="Microsoft Internet Keyboard"/>
        <s v="Tripp Lite Isotel 8 Ultra 8 Outlet Metal Surge"/>
        <s v="Balt Split Level Computer Training Table"/>
        <s v="SANFORD Liquid Accent™ Tank-Style Highlighters"/>
        <s v="Boston Model 1800 Electric Pencil Sharpener, Gray"/>
        <s v="Acco Recycled 2&quot; Capacity Laser Printer Hanging Data Binders"/>
        <s v="IBM 80 Minute CD-R Spindle, 50/Pack"/>
      </sharedItems>
    </cacheField>
    <cacheField name="Product Container" numFmtId="0">
      <sharedItems containsBlank="1" count="8">
        <s v="Small Box"/>
        <s v="Small Pack"/>
        <s v="Jumbo Box"/>
        <s v="Wrap Bag"/>
        <s v="Medium Box"/>
        <s v="Large Box"/>
        <s v="Jumbo Drum"/>
        <m/>
      </sharedItems>
    </cacheField>
    <cacheField name="Ship Date" numFmtId="0">
      <sharedItems containsSemiMixedTypes="0" containsNonDate="0" containsDate="1" containsString="0" minDate="1899-12-30T00:00:00" maxDate="2012-12-31T00:00:00" count="726">
        <d v="2011-02-07T00:00:00"/>
        <d v="2011-02-09T00:00:00"/>
        <d v="2010-10-30T00:00:00"/>
        <d v="2010-10-31T00:00:00"/>
        <d v="2012-04-14T00:00:00"/>
        <d v="2010-09-05T00:00:00"/>
        <d v="2011-09-05T00:00:00"/>
        <d v="2010-06-05T00:00:00"/>
        <d v="2011-09-13T00:00:00"/>
        <d v="2012-08-16T00:00:00"/>
        <d v="2010-05-26T00:00:00"/>
        <d v="2011-09-23T00:00:00"/>
        <d v="2011-09-22T00:00:00"/>
        <d v="2009-05-21T00:00:00"/>
        <d v="2009-04-18T00:00:00"/>
        <d v="2009-04-17T00:00:00"/>
        <d v="2009-05-07T00:00:00"/>
        <d v="2010-03-03T00:00:00"/>
        <d v="2011-05-03T00:00:00"/>
        <d v="2011-05-04T00:00:00"/>
        <d v="2011-11-08T00:00:00"/>
        <d v="2009-11-21T00:00:00"/>
        <d v="2010-02-12T00:00:00"/>
        <d v="2009-07-16T00:00:00"/>
        <d v="2011-07-19T00:00:00"/>
        <d v="2012-11-25T00:00:00"/>
        <d v="2011-12-23T00:00:00"/>
        <d v="2011-03-17T00:00:00"/>
        <d v="2010-05-06T00:00:00"/>
        <d v="2009-07-10T00:00:00"/>
        <d v="2009-07-14T00:00:00"/>
        <d v="2012-06-07T00:00:00"/>
        <d v="2011-02-27T00:00:00"/>
        <d v="2011-03-16T00:00:00"/>
        <d v="2011-01-13T00:00:00"/>
        <d v="2011-01-11T00:00:00"/>
        <d v="2012-03-04T00:00:00"/>
        <d v="2012-03-05T00:00:00"/>
        <d v="2011-07-18T00:00:00"/>
        <d v="2012-09-05T00:00:00"/>
        <d v="2012-12-30T00:00:00"/>
        <d v="2012-04-08T00:00:00"/>
        <d v="2012-12-15T00:00:00"/>
        <d v="2012-01-28T00:00:00"/>
        <d v="2009-08-06T00:00:00"/>
        <d v="2009-11-16T00:00:00"/>
        <d v="2009-11-18T00:00:00"/>
        <d v="2010-03-30T00:00:00"/>
        <d v="2011-03-04T00:00:00"/>
        <d v="2010-12-02T00:00:00"/>
        <d v="2012-07-27T00:00:00"/>
        <d v="2012-07-29T00:00:00"/>
        <d v="2010-04-12T00:00:00"/>
        <d v="2010-04-14T00:00:00"/>
        <d v="2010-09-08T00:00:00"/>
        <d v="2011-09-17T00:00:00"/>
        <d v="2011-09-15T00:00:00"/>
        <d v="2009-06-22T00:00:00"/>
        <d v="2009-06-19T00:00:00"/>
        <d v="2011-10-16T00:00:00"/>
        <d v="2011-10-15T00:00:00"/>
        <d v="2010-04-08T00:00:00"/>
        <d v="2011-09-10T00:00:00"/>
        <d v="2010-07-19T00:00:00"/>
        <d v="2011-01-21T00:00:00"/>
        <d v="2011-05-21T00:00:00"/>
        <d v="2012-05-26T00:00:00"/>
        <d v="2010-09-28T00:00:00"/>
        <d v="2011-08-06T00:00:00"/>
        <d v="2011-08-05T00:00:00"/>
        <d v="2009-05-27T00:00:00"/>
        <d v="2012-01-20T00:00:00"/>
        <d v="2012-01-10T00:00:00"/>
        <d v="2009-01-26T00:00:00"/>
        <d v="2012-03-12T00:00:00"/>
        <d v="2012-04-06T00:00:00"/>
        <d v="2011-04-27T00:00:00"/>
        <d v="2011-04-22T00:00:00"/>
        <d v="2011-01-12T00:00:00"/>
        <d v="2010-03-15T00:00:00"/>
        <d v="2010-11-21T00:00:00"/>
        <d v="2010-03-06T00:00:00"/>
        <d v="2009-06-05T00:00:00"/>
        <d v="2009-09-21T00:00:00"/>
        <d v="2009-01-16T00:00:00"/>
        <d v="2009-01-17T00:00:00"/>
        <d v="2009-01-11T00:00:00"/>
        <d v="2010-11-20T00:00:00"/>
        <d v="2012-02-06T00:00:00"/>
        <d v="2011-08-27T00:00:00"/>
        <d v="2009-06-14T00:00:00"/>
        <d v="2010-11-12T00:00:00"/>
        <d v="2009-07-25T00:00:00"/>
        <d v="2011-12-09T00:00:00"/>
        <d v="2010-08-31T00:00:00"/>
        <d v="2011-12-08T00:00:00"/>
        <d v="2011-12-06T00:00:00"/>
        <d v="2011-01-24T00:00:00"/>
        <d v="2009-09-08T00:00:00"/>
        <d v="2009-09-09T00:00:00"/>
        <d v="2010-02-19T00:00:00"/>
        <d v="2010-11-17T00:00:00"/>
        <d v="2010-11-18T00:00:00"/>
        <d v="2009-05-06T00:00:00"/>
        <d v="2011-02-14T00:00:00"/>
        <d v="2009-04-08T00:00:00"/>
        <d v="2009-07-12T00:00:00"/>
        <d v="2012-12-26T00:00:00"/>
        <d v="2009-11-12T00:00:00"/>
        <d v="2010-09-30T00:00:00"/>
        <d v="2010-10-01T00:00:00"/>
        <d v="2009-08-31T00:00:00"/>
        <d v="2009-08-27T00:00:00"/>
        <d v="2009-09-03T00:00:00"/>
        <d v="2012-08-13T00:00:00"/>
        <d v="2010-09-09T00:00:00"/>
        <d v="2009-03-24T00:00:00"/>
        <d v="2009-04-10T00:00:00"/>
        <d v="2009-09-06T00:00:00"/>
        <d v="2010-07-11T00:00:00"/>
        <d v="2009-08-05T00:00:00"/>
        <d v="2009-06-03T00:00:00"/>
        <d v="2010-09-22T00:00:00"/>
        <d v="2009-09-29T00:00:00"/>
        <d v="2010-06-18T00:00:00"/>
        <d v="2011-12-15T00:00:00"/>
        <d v="2011-02-21T00:00:00"/>
        <d v="2010-01-15T00:00:00"/>
        <d v="2010-12-21T00:00:00"/>
        <d v="2010-12-26T00:00:00"/>
        <d v="2010-01-12T00:00:00"/>
        <d v="2011-11-25T00:00:00"/>
        <d v="2010-06-26T00:00:00"/>
        <d v="2010-07-27T00:00:00"/>
        <d v="2012-02-12T00:00:00"/>
        <d v="2009-05-17T00:00:00"/>
        <d v="2009-05-18T00:00:00"/>
        <d v="2009-05-15T00:00:00"/>
        <d v="2009-08-20T00:00:00"/>
        <d v="2011-04-12T00:00:00"/>
        <d v="2011-04-11T00:00:00"/>
        <d v="2012-12-03T00:00:00"/>
        <d v="2012-12-02T00:00:00"/>
        <d v="2009-01-18T00:00:00"/>
        <d v="2009-01-13T00:00:00"/>
        <d v="2012-02-26T00:00:00"/>
        <d v="2012-07-10T00:00:00"/>
        <d v="2010-02-01T00:00:00"/>
        <d v="2012-03-08T00:00:00"/>
        <d v="2012-03-07T00:00:00"/>
        <d v="2010-05-17T00:00:00"/>
        <d v="2010-05-19T00:00:00"/>
        <d v="2009-08-02T00:00:00"/>
        <d v="2011-02-17T00:00:00"/>
        <d v="2012-10-16T00:00:00"/>
        <d v="2012-05-12T00:00:00"/>
        <d v="2012-05-13T00:00:00"/>
        <d v="2010-09-26T00:00:00"/>
        <d v="2010-10-27T00:00:00"/>
        <d v="2010-10-28T00:00:00"/>
        <d v="2009-11-10T00:00:00"/>
        <d v="2009-12-19T00:00:00"/>
        <d v="2010-11-09T00:00:00"/>
        <d v="2012-03-24T00:00:00"/>
        <d v="2012-03-25T00:00:00"/>
        <d v="2009-10-04T00:00:00"/>
        <d v="2009-12-15T00:00:00"/>
        <d v="2009-03-30T00:00:00"/>
        <d v="2011-08-03T00:00:00"/>
        <d v="2011-02-23T00:00:00"/>
        <d v="2010-05-11T00:00:00"/>
        <d v="2012-10-08T00:00:00"/>
        <d v="2010-12-13T00:00:00"/>
        <d v="2010-12-20T00:00:00"/>
        <d v="2012-02-13T00:00:00"/>
        <d v="2012-10-31T00:00:00"/>
        <d v="2010-09-02T00:00:00"/>
        <d v="2010-10-09T00:00:00"/>
        <d v="2012-03-16T00:00:00"/>
        <d v="2012-03-17T00:00:00"/>
        <d v="2009-02-08T00:00:00"/>
        <d v="2009-04-30T00:00:00"/>
        <d v="2012-10-28T00:00:00"/>
        <d v="2012-05-22T00:00:00"/>
        <d v="2012-09-22T00:00:00"/>
        <d v="2012-01-14T00:00:00"/>
        <d v="2009-04-24T00:00:00"/>
        <d v="2009-09-05T00:00:00"/>
        <d v="2009-08-29T00:00:00"/>
        <d v="2012-05-30T00:00:00"/>
        <d v="2012-05-21T00:00:00"/>
        <d v="2010-12-31T00:00:00"/>
        <d v="2011-01-02T00:00:00"/>
        <d v="2009-02-13T00:00:00"/>
        <d v="2009-02-27T00:00:00"/>
        <d v="2012-08-05T00:00:00"/>
        <d v="2012-08-07T00:00:00"/>
        <d v="2009-09-18T00:00:00"/>
        <d v="2011-12-20T00:00:00"/>
        <d v="2011-07-30T00:00:00"/>
        <d v="2011-08-04T00:00:00"/>
        <d v="2009-01-29T00:00:00"/>
        <d v="2009-01-30T00:00:00"/>
        <d v="2012-11-05T00:00:00"/>
        <d v="2011-10-01T00:00:00"/>
        <d v="2011-09-30T00:00:00"/>
        <d v="2009-03-20T00:00:00"/>
        <d v="2009-08-24T00:00:00"/>
        <d v="2010-11-15T00:00:00"/>
        <d v="2011-01-16T00:00:00"/>
        <d v="2011-01-10T00:00:00"/>
        <d v="2011-01-27T00:00:00"/>
        <d v="2010-03-28T00:00:00"/>
        <d v="2012-08-24T00:00:00"/>
        <d v="2010-05-24T00:00:00"/>
        <d v="2010-08-02T00:00:00"/>
        <d v="2010-07-05T00:00:00"/>
        <d v="2010-07-06T00:00:00"/>
        <d v="2012-12-10T00:00:00"/>
        <d v="2009-04-11T00:00:00"/>
        <d v="2010-08-14T00:00:00"/>
        <d v="2011-11-01T00:00:00"/>
        <d v="2012-03-28T00:00:00"/>
        <d v="2011-06-11T00:00:00"/>
        <d v="2012-11-14T00:00:00"/>
        <d v="2011-06-07T00:00:00"/>
        <d v="2011-02-22T00:00:00"/>
        <d v="2010-07-10T00:00:00"/>
        <d v="2010-07-09T00:00:00"/>
        <d v="2011-02-04T00:00:00"/>
        <d v="2011-02-03T00:00:00"/>
        <d v="2011-02-02T00:00:00"/>
        <d v="2011-01-31T00:00:00"/>
        <d v="2012-11-11T00:00:00"/>
        <d v="2012-11-10T00:00:00"/>
        <d v="2011-01-26T00:00:00"/>
        <d v="2011-12-11T00:00:00"/>
        <d v="2009-02-19T00:00:00"/>
        <d v="2009-05-28T00:00:00"/>
        <d v="2011-03-05T00:00:00"/>
        <d v="2012-07-22T00:00:00"/>
        <d v="2012-04-04T00:00:00"/>
        <d v="2012-04-29T00:00:00"/>
        <d v="2010-04-03T00:00:00"/>
        <d v="2012-12-12T00:00:00"/>
        <d v="2011-12-12T00:00:00"/>
        <d v="2011-05-01T00:00:00"/>
        <d v="2010-10-20T00:00:00"/>
        <d v="2010-06-28T00:00:00"/>
        <d v="2009-04-27T00:00:00"/>
        <d v="2011-07-07T00:00:00"/>
        <d v="2010-04-02T00:00:00"/>
        <d v="2012-07-04T00:00:00"/>
        <d v="2011-04-20T00:00:00"/>
        <d v="2011-01-19T00:00:00"/>
        <d v="2010-12-30T00:00:00"/>
        <d v="2010-11-19T00:00:00"/>
        <d v="2012-10-29T00:00:00"/>
        <d v="2009-01-08T00:00:00"/>
        <d v="2011-05-07T00:00:00"/>
        <d v="2009-08-30T00:00:00"/>
        <d v="2010-11-07T00:00:00"/>
        <d v="2009-07-17T00:00:00"/>
        <d v="2009-02-14T00:00:00"/>
        <d v="2009-02-09T00:00:00"/>
        <d v="2009-10-31T00:00:00"/>
        <d v="2011-03-15T00:00:00"/>
        <d v="2010-01-20T00:00:00"/>
        <d v="2009-12-18T00:00:00"/>
        <d v="2010-05-27T00:00:00"/>
        <d v="2012-10-04T00:00:00"/>
        <d v="2012-10-03T00:00:00"/>
        <d v="2012-09-03T00:00:00"/>
        <d v="2010-06-10T00:00:00"/>
        <d v="2012-06-23T00:00:00"/>
        <d v="2012-09-16T00:00:00"/>
        <d v="2012-11-26T00:00:00"/>
        <d v="2012-06-13T00:00:00"/>
        <d v="2012-11-03T00:00:00"/>
        <d v="2011-11-29T00:00:00"/>
        <d v="2011-11-30T00:00:00"/>
        <d v="2010-11-01T00:00:00"/>
        <d v="2009-10-02T00:00:00"/>
        <d v="2011-05-22T00:00:00"/>
        <d v="2011-09-12T00:00:00"/>
        <d v="2011-10-20T00:00:00"/>
        <d v="2010-02-03T00:00:00"/>
        <d v="2011-03-12T00:00:00"/>
        <d v="2010-03-11T00:00:00"/>
        <d v="2011-09-21T00:00:00"/>
        <d v="2010-08-04T00:00:00"/>
        <d v="2010-09-24T00:00:00"/>
        <d v="2011-07-09T00:00:00"/>
        <d v="2010-04-09T00:00:00"/>
        <d v="2012-01-27T00:00:00"/>
        <d v="2012-12-20T00:00:00"/>
        <d v="2009-04-01T00:00:00"/>
        <d v="2012-06-30T00:00:00"/>
        <d v="2012-01-12T00:00:00"/>
        <d v="2010-04-28T00:00:00"/>
        <d v="2011-10-05T00:00:00"/>
        <d v="2011-04-01T00:00:00"/>
        <d v="2010-09-25T00:00:00"/>
        <d v="2012-01-17T00:00:00"/>
        <d v="2012-01-16T00:00:00"/>
        <d v="2012-06-01T00:00:00"/>
        <d v="2009-04-12T00:00:00"/>
        <d v="2012-12-28T00:00:00"/>
        <d v="2012-03-30T00:00:00"/>
        <d v="2009-05-10T00:00:00"/>
        <d v="2010-06-22T00:00:00"/>
        <d v="2010-07-07T00:00:00"/>
        <d v="2011-09-28T00:00:00"/>
        <d v="2011-09-26T00:00:00"/>
        <d v="2011-10-03T00:00:00"/>
        <d v="2011-06-29T00:00:00"/>
        <d v="2011-06-28T00:00:00"/>
        <d v="2010-06-06T00:00:00"/>
        <d v="2010-06-07T00:00:00"/>
        <d v="2009-09-24T00:00:00"/>
        <d v="2009-09-19T00:00:00"/>
        <d v="2009-01-10T00:00:00"/>
        <d v="2009-01-09T00:00:00"/>
        <d v="2010-05-05T00:00:00"/>
        <d v="2011-07-03T00:00:00"/>
        <d v="2011-07-04T00:00:00"/>
        <d v="2009-11-05T00:00:00"/>
        <d v="2009-11-06T00:00:00"/>
        <d v="2010-01-13T00:00:00"/>
        <d v="2009-02-17T00:00:00"/>
        <d v="2009-02-16T00:00:00"/>
        <d v="2011-11-13T00:00:00"/>
        <d v="2011-11-14T00:00:00"/>
        <d v="2012-06-21T00:00:00"/>
        <d v="2012-06-20T00:00:00"/>
        <d v="2009-05-13T00:00:00"/>
        <d v="2009-05-12T00:00:00"/>
        <d v="2009-05-11T00:00:00"/>
        <d v="2012-08-04T00:00:00"/>
        <d v="2011-08-20T00:00:00"/>
        <d v="2009-05-09T00:00:00"/>
        <d v="2012-10-20T00:00:00"/>
        <d v="2011-10-26T00:00:00"/>
        <d v="2011-02-13T00:00:00"/>
        <d v="2011-02-12T00:00:00"/>
        <d v="2012-09-29T00:00:00"/>
        <d v="2010-12-18T00:00:00"/>
        <d v="2009-04-07T00:00:00"/>
        <d v="2011-11-11T00:00:00"/>
        <d v="2012-11-19T00:00:00"/>
        <d v="2012-11-18T00:00:00"/>
        <d v="2009-07-06T00:00:00"/>
        <d v="2012-11-29T00:00:00"/>
        <d v="2011-08-08T00:00:00"/>
        <d v="2011-12-27T00:00:00"/>
        <d v="2009-07-01T00:00:00"/>
        <d v="2009-07-03T00:00:00"/>
        <d v="2010-03-16T00:00:00"/>
        <d v="2012-06-08T00:00:00"/>
        <d v="2012-06-06T00:00:00"/>
        <d v="2010-03-01T00:00:00"/>
        <d v="2009-09-07T00:00:00"/>
        <d v="2009-10-05T00:00:00"/>
        <d v="2011-06-05T00:00:00"/>
        <d v="2011-06-08T00:00:00"/>
        <d v="2009-01-02T00:00:00"/>
        <d v="2009-01-04T00:00:00"/>
        <d v="2010-02-23T00:00:00"/>
        <d v="2010-02-24T00:00:00"/>
        <d v="2010-01-08T00:00:00"/>
        <d v="2009-08-18T00:00:00"/>
        <d v="2010-11-06T00:00:00"/>
        <d v="2010-12-03T00:00:00"/>
        <d v="2009-12-02T00:00:00"/>
        <d v="2010-05-29T00:00:00"/>
        <d v="2010-05-01T00:00:00"/>
        <d v="2011-06-06T00:00:00"/>
        <d v="2011-10-28T00:00:00"/>
        <d v="2009-06-26T00:00:00"/>
        <d v="2011-07-14T00:00:00"/>
        <d v="2011-07-17T00:00:00"/>
        <d v="2011-12-19T00:00:00"/>
        <d v="2009-10-20T00:00:00"/>
        <d v="2009-10-21T00:00:00"/>
        <d v="2012-10-01T00:00:00"/>
        <d v="2012-09-09T00:00:00"/>
        <d v="2012-09-06T00:00:00"/>
        <d v="2010-01-03T00:00:00"/>
        <d v="2010-04-05T00:00:00"/>
        <d v="2010-04-06T00:00:00"/>
        <d v="2010-09-07T00:00:00"/>
        <d v="2010-04-22T00:00:00"/>
        <d v="2010-04-24T00:00:00"/>
        <d v="2010-04-20T00:00:00"/>
        <d v="2009-12-27T00:00:00"/>
        <d v="2009-12-28T00:00:00"/>
        <d v="2009-05-03T00:00:00"/>
        <d v="2009-05-04T00:00:00"/>
        <d v="2009-05-25T00:00:00"/>
        <d v="2011-09-04T00:00:00"/>
        <d v="2011-04-18T00:00:00"/>
        <d v="2011-12-18T00:00:00"/>
        <d v="2009-09-23T00:00:00"/>
        <d v="2009-09-25T00:00:00"/>
        <d v="2011-05-05T00:00:00"/>
        <d v="2012-07-23T00:00:00"/>
        <d v="2009-03-09T00:00:00"/>
        <d v="2009-03-04T00:00:00"/>
        <d v="2009-02-28T00:00:00"/>
        <d v="2011-10-23T00:00:00"/>
        <d v="2009-11-04T00:00:00"/>
        <d v="2009-08-16T00:00:00"/>
        <d v="2009-08-15T00:00:00"/>
        <d v="2010-10-14T00:00:00"/>
        <d v="2010-10-16T00:00:00"/>
        <d v="2010-10-15T00:00:00"/>
        <d v="2010-08-12T00:00:00"/>
        <d v="2010-06-02T00:00:00"/>
        <d v="2010-05-28T00:00:00"/>
        <d v="2011-10-07T00:00:00"/>
        <d v="2012-10-09T00:00:00"/>
        <d v="2012-10-11T00:00:00"/>
        <d v="2012-04-16T00:00:00"/>
        <d v="2010-05-20T00:00:00"/>
        <d v="2011-05-13T00:00:00"/>
        <d v="2012-01-04T00:00:00"/>
        <d v="2012-08-29T00:00:00"/>
        <d v="2012-06-14T00:00:00"/>
        <d v="2009-09-17T00:00:00"/>
        <d v="2012-10-05T00:00:00"/>
        <d v="2011-11-21T00:00:00"/>
        <d v="2012-03-14T00:00:00"/>
        <d v="2010-01-07T00:00:00"/>
        <d v="2012-03-26T00:00:00"/>
        <d v="2012-08-09T00:00:00"/>
        <d v="2012-01-23T00:00:00"/>
        <d v="2012-06-04T00:00:00"/>
        <d v="2012-06-05T00:00:00"/>
        <d v="2009-09-12T00:00:00"/>
        <d v="2010-04-15T00:00:00"/>
        <d v="2012-04-21T00:00:00"/>
        <d v="2009-05-01T00:00:00"/>
        <d v="2009-05-02T00:00:00"/>
        <d v="2010-04-13T00:00:00"/>
        <d v="2009-08-04T00:00:00"/>
        <d v="2012-06-10T00:00:00"/>
        <d v="2011-06-19T00:00:00"/>
        <d v="2010-07-26T00:00:00"/>
        <d v="2009-03-28T00:00:00"/>
        <d v="2009-06-08T00:00:00"/>
        <d v="2009-06-09T00:00:00"/>
        <d v="2012-03-13T00:00:00"/>
        <d v="2011-12-31T00:00:00"/>
        <d v="2012-06-26T00:00:00"/>
        <d v="2009-02-21T00:00:00"/>
        <d v="2009-12-29T00:00:00"/>
        <d v="2012-10-24T00:00:00"/>
        <d v="2011-05-23T00:00:00"/>
        <d v="2010-07-29T00:00:00"/>
        <d v="2010-07-28T00:00:00"/>
        <d v="2009-06-13T00:00:00"/>
        <d v="2010-10-13T00:00:00"/>
        <d v="2009-12-17T00:00:00"/>
        <d v="2011-07-24T00:00:00"/>
        <d v="2012-04-10T00:00:00"/>
        <d v="2012-12-17T00:00:00"/>
        <d v="2009-10-13T00:00:00"/>
        <d v="2011-08-30T00:00:00"/>
        <d v="2010-01-09T00:00:00"/>
        <d v="2010-01-23T00:00:00"/>
        <d v="2012-05-14T00:00:00"/>
        <d v="2009-10-27T00:00:00"/>
        <d v="2009-10-26T00:00:00"/>
        <d v="2009-10-25T00:00:00"/>
        <d v="2012-06-11T00:00:00"/>
        <d v="2010-06-08T00:00:00"/>
        <d v="2010-06-23T00:00:00"/>
        <d v="2012-05-08T00:00:00"/>
        <d v="2012-03-03T00:00:00"/>
        <d v="2011-07-08T00:00:00"/>
        <d v="2011-09-07T00:00:00"/>
        <d v="2012-02-25T00:00:00"/>
        <d v="2012-02-18T00:00:00"/>
        <d v="2010-01-31T00:00:00"/>
        <d v="2010-10-04T00:00:00"/>
        <d v="2011-04-13T00:00:00"/>
        <d v="2010-09-11T00:00:00"/>
        <d v="2012-08-30T00:00:00"/>
        <d v="2011-11-04T00:00:00"/>
        <d v="2010-03-24T00:00:00"/>
        <d v="2011-10-29T00:00:00"/>
        <d v="2010-02-26T00:00:00"/>
        <d v="2010-09-27T00:00:00"/>
        <d v="2012-07-20T00:00:00"/>
        <d v="2012-06-02T00:00:00"/>
        <d v="2012-09-08T00:00:00"/>
        <d v="2010-04-17T00:00:00"/>
        <d v="2010-10-23T00:00:00"/>
        <d v="2012-03-21T00:00:00"/>
        <d v="2010-12-08T00:00:00"/>
        <d v="2010-03-05T00:00:00"/>
        <d v="2010-03-07T00:00:00"/>
        <d v="2010-12-14T00:00:00"/>
        <d v="2011-07-15T00:00:00"/>
        <d v="2009-04-14T00:00:00"/>
        <d v="2010-01-18T00:00:00"/>
        <d v="2010-04-11T00:00:00"/>
        <d v="2009-08-12T00:00:00"/>
        <d v="2012-06-09T00:00:00"/>
        <d v="2012-06-27T00:00:00"/>
        <d v="2009-11-17T00:00:00"/>
        <d v="2009-11-19T00:00:00"/>
        <d v="2011-12-01T00:00:00"/>
        <d v="2012-02-29T00:00:00"/>
        <d v="2009-02-15T00:00:00"/>
        <d v="2011-11-22T00:00:00"/>
        <d v="2012-10-26T00:00:00"/>
        <d v="2012-10-18T00:00:00"/>
        <d v="2011-12-10T00:00:00"/>
        <d v="2010-07-25T00:00:00"/>
        <d v="2009-10-17T00:00:00"/>
        <d v="2011-05-26T00:00:00"/>
        <d v="2009-08-08T00:00:00"/>
        <d v="2009-08-07T00:00:00"/>
        <d v="2011-05-15T00:00:00"/>
        <d v="2009-03-17T00:00:00"/>
        <d v="2009-03-18T00:00:00"/>
        <d v="2010-08-09T00:00:00"/>
        <d v="2010-12-17T00:00:00"/>
        <d v="2012-08-19T00:00:00"/>
        <d v="2012-08-21T00:00:00"/>
        <d v="2011-09-06T00:00:00"/>
        <d v="2012-08-31T00:00:00"/>
        <d v="2010-05-13T00:00:00"/>
        <d v="2010-05-12T00:00:00"/>
        <d v="2011-07-02T00:00:00"/>
        <d v="2012-03-01T00:00:00"/>
        <d v="2010-11-13T00:00:00"/>
        <d v="2010-11-14T00:00:00"/>
        <d v="1899-12-31T00:00:00"/>
        <d v="1899-12-30T00:00:00"/>
        <d v="1900-01-01T00:00:00"/>
        <d v="2011-06-02T00:00:00"/>
        <d v="2009-05-23T00:00:00"/>
        <d v="2011-08-15T00:00:00"/>
        <d v="2010-01-27T00:00:00"/>
        <d v="2010-01-26T00:00:00"/>
        <d v="2011-05-02T00:00:00"/>
        <d v="2010-07-17T00:00:00"/>
        <d v="2010-07-16T00:00:00"/>
        <d v="2011-12-14T00:00:00"/>
        <d v="2009-08-19T00:00:00"/>
        <d v="2009-10-30T00:00:00"/>
        <d v="2012-08-20T00:00:00"/>
        <d v="2010-05-30T00:00:00"/>
        <d v="2012-02-19T00:00:00"/>
        <d v="2012-07-07T00:00:00"/>
        <d v="2009-10-24T00:00:00"/>
        <d v="2012-04-22T00:00:00"/>
        <d v="2009-09-15T00:00:00"/>
        <d v="2009-12-11T00:00:00"/>
        <d v="2009-11-07T00:00:00"/>
        <d v="2009-02-22T00:00:00"/>
        <d v="2010-12-10T00:00:00"/>
        <d v="2009-01-14T00:00:00"/>
        <d v="2009-03-25T00:00:00"/>
        <d v="2011-06-10T00:00:00"/>
        <d v="2010-02-02T00:00:00"/>
        <d v="2010-01-25T00:00:00"/>
        <d v="2010-09-14T00:00:00"/>
        <d v="2010-09-15T00:00:00"/>
        <d v="2011-08-26T00:00:00"/>
        <d v="2010-05-08T00:00:00"/>
        <d v="2009-07-26T00:00:00"/>
        <d v="2012-05-20T00:00:00"/>
        <d v="2010-09-20T00:00:00"/>
        <d v="2010-08-08T00:00:00"/>
        <d v="2009-01-24T00:00:00"/>
        <d v="2010-02-15T00:00:00"/>
        <d v="2010-02-18T00:00:00"/>
        <d v="2009-02-05T00:00:00"/>
        <d v="2009-03-31T00:00:00"/>
        <d v="2009-09-26T00:00:00"/>
        <d v="2012-12-05T00:00:00"/>
        <d v="2012-12-09T00:00:00"/>
        <d v="2012-01-24T00:00:00"/>
        <d v="2009-07-09T00:00:00"/>
        <d v="2009-07-05T00:00:00"/>
        <d v="2011-02-06T00:00:00"/>
        <d v="2010-08-26T00:00:00"/>
        <d v="2010-08-21T00:00:00"/>
        <d v="2012-02-07T00:00:00"/>
        <d v="2010-03-22T00:00:00"/>
        <d v="2012-09-20T00:00:00"/>
        <d v="2012-02-05T00:00:00"/>
        <d v="2012-12-18T00:00:00"/>
        <d v="2010-01-19T00:00:00"/>
        <d v="2011-06-14T00:00:00"/>
        <d v="2012-09-27T00:00:00"/>
        <d v="2011-04-02T00:00:00"/>
        <d v="2011-04-05T00:00:00"/>
        <d v="2011-04-06T00:00:00"/>
        <d v="2009-12-21T00:00:00"/>
        <d v="2012-02-15T00:00:00"/>
        <d v="2010-02-05T00:00:00"/>
        <d v="2012-02-22T00:00:00"/>
        <d v="2011-11-23T00:00:00"/>
        <d v="2011-11-18T00:00:00"/>
        <d v="2011-11-20T00:00:00"/>
        <d v="2011-01-04T00:00:00"/>
        <d v="2009-12-26T00:00:00"/>
        <d v="2009-04-20T00:00:00"/>
        <d v="2009-04-21T00:00:00"/>
        <d v="2012-09-14T00:00:00"/>
        <d v="2010-04-26T00:00:00"/>
        <d v="2010-04-27T00:00:00"/>
        <d v="2012-02-08T00:00:00"/>
        <d v="2009-06-02T00:00:00"/>
        <d v="2009-05-26T00:00:00"/>
        <d v="2011-09-02T00:00:00"/>
        <d v="2010-11-23T00:00:00"/>
        <d v="2011-10-12T00:00:00"/>
        <d v="2011-08-23T00:00:00"/>
        <d v="2012-01-09T00:00:00"/>
        <d v="2010-04-10T00:00:00"/>
        <d v="2009-10-07T00:00:00"/>
        <d v="2009-10-08T00:00:00"/>
        <d v="2012-10-27T00:00:00"/>
        <d v="2011-09-25T00:00:00"/>
        <d v="2011-06-09T00:00:00"/>
        <d v="2009-01-28T00:00:00"/>
        <d v="2010-02-20T00:00:00"/>
        <d v="2010-09-21T00:00:00"/>
        <d v="2010-09-19T00:00:00"/>
        <d v="2010-09-23T00:00:00"/>
        <d v="2009-04-03T00:00:00"/>
        <d v="2009-04-04T00:00:00"/>
        <d v="2009-05-05T00:00:00"/>
        <d v="2010-12-07T00:00:00"/>
        <d v="2010-03-21T00:00:00"/>
        <d v="2011-08-19T00:00:00"/>
        <d v="2012-11-27T00:00:00"/>
        <d v="2012-12-22T00:00:00"/>
        <d v="2012-12-11T00:00:00"/>
        <d v="2009-03-19T00:00:00"/>
        <d v="2012-05-23T00:00:00"/>
        <d v="2009-11-29T00:00:00"/>
        <d v="2012-04-01T00:00:00"/>
        <d v="2011-08-24T00:00:00"/>
        <d v="2011-09-24T00:00:00"/>
        <d v="2012-06-03T00:00:00"/>
        <d v="2011-12-16T00:00:00"/>
        <d v="2010-09-12T00:00:00"/>
        <d v="2010-09-13T00:00:00"/>
        <d v="2010-09-16T00:00:00"/>
        <d v="2012-09-19T00:00:00"/>
        <d v="2010-02-14T00:00:00"/>
        <d v="2012-10-23T00:00:00"/>
        <d v="2012-10-19T00:00:00"/>
        <d v="2012-10-15T00:00:00"/>
        <d v="2012-11-02T00:00:00"/>
        <d v="2010-02-22T00:00:00"/>
        <d v="2009-11-27T00:00:00"/>
        <d v="2009-11-24T00:00:00"/>
        <d v="2012-03-15T00:00:00"/>
        <d v="2010-12-06T00:00:00"/>
        <d v="2009-02-02T00:00:00"/>
        <d v="2011-03-01T00:00:00"/>
        <d v="2011-10-22T00:00:00"/>
        <d v="2011-12-13T00:00:00"/>
        <d v="2010-06-15T00:00:00"/>
        <d v="2009-01-15T00:00:00"/>
        <d v="2010-09-04T00:00:00"/>
        <d v="2012-07-12T00:00:00"/>
        <d v="2012-01-08T00:00:00"/>
        <d v="2009-10-09T00:00:00"/>
        <d v="2010-07-30T00:00:00"/>
        <d v="2012-04-27T00:00:00"/>
        <d v="2012-04-19T00:00:00"/>
        <d v="2009-02-18T00:00:00"/>
        <d v="2010-08-19T00:00:00"/>
        <d v="2012-11-20T00:00:00"/>
        <d v="2011-12-03T00:00:00"/>
        <d v="2011-12-02T00:00:00"/>
        <d v="2011-03-09T00:00:00"/>
        <d v="2011-03-10T00:00:00"/>
        <d v="2010-10-26T00:00:00"/>
        <d v="2012-01-05T00:00:00"/>
        <d v="2012-11-21T00:00:00"/>
        <d v="2009-08-17T00:00:00"/>
        <d v="2012-07-28T00:00:00"/>
        <d v="2011-10-24T00:00:00"/>
        <d v="2012-10-13T00:00:00"/>
        <d v="2011-03-13T00:00:00"/>
        <d v="2009-03-14T00:00:00"/>
        <d v="2012-09-30T00:00:00"/>
        <d v="2012-10-02T00:00:00"/>
        <d v="2011-04-08T00:00:00"/>
        <d v="2010-10-12T00:00:00"/>
        <d v="2012-05-03T00:00:00"/>
        <d v="2010-08-20T00:00:00"/>
        <d v="2011-05-16T00:00:00"/>
        <d v="2012-07-06T00:00:00"/>
        <d v="2012-07-05T00:00:00"/>
        <d v="2011-12-30T00:00:00"/>
        <d v="2009-05-16T00:00:00"/>
        <d v="2009-05-22T00:00:00"/>
        <d v="2009-10-19T00:00:00"/>
        <d v="2012-12-13T00:00:00"/>
        <d v="2011-04-21T00:00:00"/>
        <d v="2009-07-08T00:00:00"/>
        <d v="2012-12-08T00:00:00"/>
        <d v="2010-08-28T00:00:00"/>
        <d v="2011-07-13T00:00:00"/>
        <d v="2010-05-03T00:00:00"/>
        <d v="2011-08-25T00:00:00"/>
        <d v="2012-06-12T00:00:00"/>
        <d v="2011-01-30T00:00:00"/>
        <d v="2009-02-10T00:00:00"/>
        <d v="2010-10-11T00:00:00"/>
        <d v="2010-02-11T00:00:00"/>
        <d v="2010-02-13T00:00:00"/>
        <d v="2012-05-04T00:00:00"/>
        <d v="2012-09-12T00:00:00"/>
        <d v="2012-05-07T00:00:00"/>
        <d v="2011-07-12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2">
  <r>
    <x v="0"/>
    <x v="0"/>
    <x v="0"/>
    <x v="0"/>
    <x v="0"/>
    <x v="0"/>
    <x v="0"/>
    <x v="0"/>
    <n v="99.99"/>
    <x v="0"/>
    <x v="0"/>
    <x v="0"/>
    <x v="0"/>
    <x v="0"/>
    <x v="0"/>
    <x v="0"/>
    <x v="0"/>
    <x v="0"/>
    <x v="0"/>
  </r>
  <r>
    <x v="0"/>
    <x v="0"/>
    <x v="0"/>
    <x v="1"/>
    <x v="1"/>
    <x v="1"/>
    <x v="0"/>
    <x v="1"/>
    <n v="30.98"/>
    <x v="1"/>
    <x v="0"/>
    <x v="0"/>
    <x v="0"/>
    <x v="0"/>
    <x v="1"/>
    <x v="1"/>
    <x v="1"/>
    <x v="1"/>
    <x v="1"/>
  </r>
  <r>
    <x v="1"/>
    <x v="1"/>
    <x v="0"/>
    <x v="2"/>
    <x v="2"/>
    <x v="2"/>
    <x v="1"/>
    <x v="2"/>
    <n v="31.76"/>
    <x v="2"/>
    <x v="1"/>
    <x v="0"/>
    <x v="0"/>
    <x v="0"/>
    <x v="2"/>
    <x v="2"/>
    <x v="2"/>
    <x v="2"/>
    <x v="2"/>
  </r>
  <r>
    <x v="1"/>
    <x v="1"/>
    <x v="0"/>
    <x v="3"/>
    <x v="3"/>
    <x v="3"/>
    <x v="0"/>
    <x v="3"/>
    <n v="4.57"/>
    <x v="3"/>
    <x v="1"/>
    <x v="0"/>
    <x v="0"/>
    <x v="0"/>
    <x v="1"/>
    <x v="3"/>
    <x v="3"/>
    <x v="0"/>
    <x v="3"/>
  </r>
  <r>
    <x v="2"/>
    <x v="2"/>
    <x v="1"/>
    <x v="4"/>
    <x v="4"/>
    <x v="2"/>
    <x v="0"/>
    <x v="4"/>
    <n v="4.13"/>
    <x v="4"/>
    <x v="2"/>
    <x v="0"/>
    <x v="0"/>
    <x v="1"/>
    <x v="1"/>
    <x v="3"/>
    <x v="4"/>
    <x v="0"/>
    <x v="4"/>
  </r>
  <r>
    <x v="3"/>
    <x v="3"/>
    <x v="2"/>
    <x v="5"/>
    <x v="5"/>
    <x v="4"/>
    <x v="0"/>
    <x v="5"/>
    <n v="8.74"/>
    <x v="5"/>
    <x v="3"/>
    <x v="0"/>
    <x v="0"/>
    <x v="1"/>
    <x v="1"/>
    <x v="4"/>
    <x v="5"/>
    <x v="0"/>
    <x v="5"/>
  </r>
  <r>
    <x v="4"/>
    <x v="4"/>
    <x v="3"/>
    <x v="5"/>
    <x v="6"/>
    <x v="4"/>
    <x v="0"/>
    <x v="6"/>
    <n v="3.8"/>
    <x v="6"/>
    <x v="4"/>
    <x v="0"/>
    <x v="0"/>
    <x v="2"/>
    <x v="1"/>
    <x v="3"/>
    <x v="6"/>
    <x v="0"/>
    <x v="6"/>
  </r>
  <r>
    <x v="5"/>
    <x v="5"/>
    <x v="3"/>
    <x v="6"/>
    <x v="7"/>
    <x v="3"/>
    <x v="0"/>
    <x v="7"/>
    <n v="5.78"/>
    <x v="7"/>
    <x v="5"/>
    <x v="0"/>
    <x v="0"/>
    <x v="1"/>
    <x v="1"/>
    <x v="5"/>
    <x v="7"/>
    <x v="0"/>
    <x v="7"/>
  </r>
  <r>
    <x v="6"/>
    <x v="6"/>
    <x v="0"/>
    <x v="7"/>
    <x v="8"/>
    <x v="0"/>
    <x v="2"/>
    <x v="8"/>
    <n v="22.84"/>
    <x v="8"/>
    <x v="6"/>
    <x v="0"/>
    <x v="0"/>
    <x v="0"/>
    <x v="1"/>
    <x v="5"/>
    <x v="8"/>
    <x v="0"/>
    <x v="8"/>
  </r>
  <r>
    <x v="7"/>
    <x v="7"/>
    <x v="1"/>
    <x v="8"/>
    <x v="9"/>
    <x v="5"/>
    <x v="0"/>
    <x v="9"/>
    <n v="3.36"/>
    <x v="9"/>
    <x v="7"/>
    <x v="0"/>
    <x v="0"/>
    <x v="1"/>
    <x v="1"/>
    <x v="3"/>
    <x v="9"/>
    <x v="0"/>
    <x v="9"/>
  </r>
  <r>
    <x v="8"/>
    <x v="8"/>
    <x v="3"/>
    <x v="9"/>
    <x v="10"/>
    <x v="1"/>
    <x v="0"/>
    <x v="10"/>
    <n v="14.48"/>
    <x v="10"/>
    <x v="8"/>
    <x v="0"/>
    <x v="0"/>
    <x v="0"/>
    <x v="0"/>
    <x v="0"/>
    <x v="10"/>
    <x v="1"/>
    <x v="10"/>
  </r>
  <r>
    <x v="9"/>
    <x v="9"/>
    <x v="4"/>
    <x v="10"/>
    <x v="11"/>
    <x v="5"/>
    <x v="0"/>
    <x v="11"/>
    <n v="6.48"/>
    <x v="11"/>
    <x v="9"/>
    <x v="0"/>
    <x v="0"/>
    <x v="1"/>
    <x v="1"/>
    <x v="5"/>
    <x v="11"/>
    <x v="0"/>
    <x v="11"/>
  </r>
  <r>
    <x v="9"/>
    <x v="9"/>
    <x v="4"/>
    <x v="11"/>
    <x v="12"/>
    <x v="3"/>
    <x v="2"/>
    <x v="12"/>
    <n v="15.42"/>
    <x v="12"/>
    <x v="9"/>
    <x v="0"/>
    <x v="0"/>
    <x v="1"/>
    <x v="1"/>
    <x v="6"/>
    <x v="12"/>
    <x v="0"/>
    <x v="12"/>
  </r>
  <r>
    <x v="10"/>
    <x v="10"/>
    <x v="0"/>
    <x v="12"/>
    <x v="13"/>
    <x v="6"/>
    <x v="2"/>
    <x v="13"/>
    <n v="65.989999999999995"/>
    <x v="1"/>
    <x v="10"/>
    <x v="0"/>
    <x v="0"/>
    <x v="1"/>
    <x v="0"/>
    <x v="7"/>
    <x v="13"/>
    <x v="0"/>
    <x v="13"/>
  </r>
  <r>
    <x v="11"/>
    <x v="11"/>
    <x v="2"/>
    <x v="13"/>
    <x v="14"/>
    <x v="7"/>
    <x v="0"/>
    <x v="14"/>
    <n v="55.94"/>
    <x v="13"/>
    <x v="11"/>
    <x v="0"/>
    <x v="0"/>
    <x v="1"/>
    <x v="0"/>
    <x v="0"/>
    <x v="14"/>
    <x v="0"/>
    <x v="14"/>
  </r>
  <r>
    <x v="11"/>
    <x v="11"/>
    <x v="2"/>
    <x v="14"/>
    <x v="15"/>
    <x v="0"/>
    <x v="0"/>
    <x v="15"/>
    <n v="6.3"/>
    <x v="14"/>
    <x v="11"/>
    <x v="0"/>
    <x v="0"/>
    <x v="1"/>
    <x v="1"/>
    <x v="8"/>
    <x v="15"/>
    <x v="0"/>
    <x v="15"/>
  </r>
  <r>
    <x v="12"/>
    <x v="12"/>
    <x v="1"/>
    <x v="13"/>
    <x v="16"/>
    <x v="4"/>
    <x v="2"/>
    <x v="16"/>
    <n v="178.47"/>
    <x v="0"/>
    <x v="12"/>
    <x v="0"/>
    <x v="0"/>
    <x v="2"/>
    <x v="1"/>
    <x v="6"/>
    <x v="16"/>
    <x v="0"/>
    <x v="16"/>
  </r>
  <r>
    <x v="13"/>
    <x v="13"/>
    <x v="4"/>
    <x v="15"/>
    <x v="17"/>
    <x v="3"/>
    <x v="0"/>
    <x v="17"/>
    <n v="18.97"/>
    <x v="11"/>
    <x v="13"/>
    <x v="0"/>
    <x v="0"/>
    <x v="2"/>
    <x v="1"/>
    <x v="5"/>
    <x v="17"/>
    <x v="0"/>
    <x v="17"/>
  </r>
  <r>
    <x v="14"/>
    <x v="14"/>
    <x v="2"/>
    <x v="10"/>
    <x v="18"/>
    <x v="6"/>
    <x v="0"/>
    <x v="18"/>
    <n v="205.99"/>
    <x v="0"/>
    <x v="14"/>
    <x v="0"/>
    <x v="0"/>
    <x v="0"/>
    <x v="0"/>
    <x v="7"/>
    <x v="18"/>
    <x v="0"/>
    <x v="18"/>
  </r>
  <r>
    <x v="14"/>
    <x v="14"/>
    <x v="2"/>
    <x v="16"/>
    <x v="19"/>
    <x v="3"/>
    <x v="0"/>
    <x v="19"/>
    <n v="162.93"/>
    <x v="0"/>
    <x v="14"/>
    <x v="0"/>
    <x v="0"/>
    <x v="0"/>
    <x v="1"/>
    <x v="4"/>
    <x v="19"/>
    <x v="0"/>
    <x v="19"/>
  </r>
  <r>
    <x v="15"/>
    <x v="15"/>
    <x v="4"/>
    <x v="17"/>
    <x v="20"/>
    <x v="6"/>
    <x v="0"/>
    <x v="20"/>
    <n v="162.93"/>
    <x v="0"/>
    <x v="15"/>
    <x v="0"/>
    <x v="0"/>
    <x v="2"/>
    <x v="1"/>
    <x v="4"/>
    <x v="19"/>
    <x v="0"/>
    <x v="20"/>
  </r>
  <r>
    <x v="16"/>
    <x v="16"/>
    <x v="4"/>
    <x v="18"/>
    <x v="21"/>
    <x v="8"/>
    <x v="0"/>
    <x v="21"/>
    <n v="4.26"/>
    <x v="15"/>
    <x v="16"/>
    <x v="0"/>
    <x v="0"/>
    <x v="2"/>
    <x v="1"/>
    <x v="1"/>
    <x v="20"/>
    <x v="3"/>
    <x v="21"/>
  </r>
  <r>
    <x v="17"/>
    <x v="17"/>
    <x v="1"/>
    <x v="19"/>
    <x v="22"/>
    <x v="4"/>
    <x v="0"/>
    <x v="22"/>
    <n v="2.88"/>
    <x v="16"/>
    <x v="17"/>
    <x v="0"/>
    <x v="0"/>
    <x v="0"/>
    <x v="1"/>
    <x v="1"/>
    <x v="21"/>
    <x v="3"/>
    <x v="22"/>
  </r>
  <r>
    <x v="18"/>
    <x v="18"/>
    <x v="3"/>
    <x v="4"/>
    <x v="23"/>
    <x v="0"/>
    <x v="0"/>
    <x v="23"/>
    <n v="165.2"/>
    <x v="0"/>
    <x v="18"/>
    <x v="0"/>
    <x v="0"/>
    <x v="1"/>
    <x v="1"/>
    <x v="6"/>
    <x v="22"/>
    <x v="0"/>
    <x v="23"/>
  </r>
  <r>
    <x v="19"/>
    <x v="19"/>
    <x v="3"/>
    <x v="9"/>
    <x v="24"/>
    <x v="8"/>
    <x v="0"/>
    <x v="24"/>
    <n v="15.98"/>
    <x v="13"/>
    <x v="19"/>
    <x v="0"/>
    <x v="0"/>
    <x v="3"/>
    <x v="0"/>
    <x v="0"/>
    <x v="23"/>
    <x v="0"/>
    <x v="24"/>
  </r>
  <r>
    <x v="20"/>
    <x v="20"/>
    <x v="3"/>
    <x v="19"/>
    <x v="25"/>
    <x v="8"/>
    <x v="1"/>
    <x v="25"/>
    <n v="146.05000000000001"/>
    <x v="17"/>
    <x v="6"/>
    <x v="0"/>
    <x v="0"/>
    <x v="0"/>
    <x v="2"/>
    <x v="2"/>
    <x v="24"/>
    <x v="2"/>
    <x v="25"/>
  </r>
  <r>
    <x v="21"/>
    <x v="21"/>
    <x v="0"/>
    <x v="2"/>
    <x v="26"/>
    <x v="2"/>
    <x v="0"/>
    <x v="26"/>
    <n v="2.78"/>
    <x v="18"/>
    <x v="19"/>
    <x v="0"/>
    <x v="0"/>
    <x v="3"/>
    <x v="1"/>
    <x v="1"/>
    <x v="25"/>
    <x v="3"/>
    <x v="26"/>
  </r>
  <r>
    <x v="22"/>
    <x v="22"/>
    <x v="3"/>
    <x v="20"/>
    <x v="27"/>
    <x v="1"/>
    <x v="0"/>
    <x v="27"/>
    <n v="12.07"/>
    <x v="19"/>
    <x v="20"/>
    <x v="0"/>
    <x v="0"/>
    <x v="1"/>
    <x v="2"/>
    <x v="9"/>
    <x v="26"/>
    <x v="3"/>
    <x v="27"/>
  </r>
  <r>
    <x v="23"/>
    <x v="23"/>
    <x v="4"/>
    <x v="7"/>
    <x v="28"/>
    <x v="7"/>
    <x v="0"/>
    <x v="28"/>
    <n v="5.58"/>
    <x v="20"/>
    <x v="4"/>
    <x v="0"/>
    <x v="0"/>
    <x v="1"/>
    <x v="1"/>
    <x v="4"/>
    <x v="27"/>
    <x v="0"/>
    <x v="28"/>
  </r>
  <r>
    <x v="24"/>
    <x v="24"/>
    <x v="3"/>
    <x v="21"/>
    <x v="29"/>
    <x v="6"/>
    <x v="0"/>
    <x v="29"/>
    <n v="8.8800000000000008"/>
    <x v="21"/>
    <x v="21"/>
    <x v="0"/>
    <x v="0"/>
    <x v="3"/>
    <x v="1"/>
    <x v="3"/>
    <x v="28"/>
    <x v="0"/>
    <x v="29"/>
  </r>
  <r>
    <x v="24"/>
    <x v="24"/>
    <x v="3"/>
    <x v="18"/>
    <x v="30"/>
    <x v="7"/>
    <x v="0"/>
    <x v="30"/>
    <n v="2.88"/>
    <x v="22"/>
    <x v="21"/>
    <x v="0"/>
    <x v="0"/>
    <x v="3"/>
    <x v="1"/>
    <x v="8"/>
    <x v="29"/>
    <x v="0"/>
    <x v="30"/>
  </r>
  <r>
    <x v="25"/>
    <x v="25"/>
    <x v="3"/>
    <x v="17"/>
    <x v="31"/>
    <x v="2"/>
    <x v="0"/>
    <x v="31"/>
    <n v="2.08"/>
    <x v="23"/>
    <x v="22"/>
    <x v="0"/>
    <x v="0"/>
    <x v="0"/>
    <x v="2"/>
    <x v="9"/>
    <x v="30"/>
    <x v="0"/>
    <x v="31"/>
  </r>
  <r>
    <x v="26"/>
    <x v="26"/>
    <x v="3"/>
    <x v="22"/>
    <x v="32"/>
    <x v="5"/>
    <x v="2"/>
    <x v="32"/>
    <n v="28.28"/>
    <x v="24"/>
    <x v="23"/>
    <x v="0"/>
    <x v="0"/>
    <x v="2"/>
    <x v="1"/>
    <x v="6"/>
    <x v="31"/>
    <x v="4"/>
    <x v="32"/>
  </r>
  <r>
    <x v="27"/>
    <x v="27"/>
    <x v="0"/>
    <x v="23"/>
    <x v="33"/>
    <x v="8"/>
    <x v="0"/>
    <x v="33"/>
    <n v="15.7"/>
    <x v="25"/>
    <x v="7"/>
    <x v="0"/>
    <x v="0"/>
    <x v="1"/>
    <x v="1"/>
    <x v="6"/>
    <x v="32"/>
    <x v="0"/>
    <x v="33"/>
  </r>
  <r>
    <x v="28"/>
    <x v="28"/>
    <x v="2"/>
    <x v="24"/>
    <x v="34"/>
    <x v="6"/>
    <x v="1"/>
    <x v="34"/>
    <n v="130.97999999999999"/>
    <x v="26"/>
    <x v="24"/>
    <x v="0"/>
    <x v="0"/>
    <x v="1"/>
    <x v="2"/>
    <x v="10"/>
    <x v="33"/>
    <x v="2"/>
    <x v="34"/>
  </r>
  <r>
    <x v="28"/>
    <x v="28"/>
    <x v="2"/>
    <x v="4"/>
    <x v="35"/>
    <x v="9"/>
    <x v="0"/>
    <x v="35"/>
    <n v="30.97"/>
    <x v="13"/>
    <x v="24"/>
    <x v="0"/>
    <x v="0"/>
    <x v="1"/>
    <x v="0"/>
    <x v="0"/>
    <x v="34"/>
    <x v="0"/>
    <x v="35"/>
  </r>
  <r>
    <x v="29"/>
    <x v="29"/>
    <x v="2"/>
    <x v="25"/>
    <x v="36"/>
    <x v="4"/>
    <x v="0"/>
    <x v="36"/>
    <n v="22.72"/>
    <x v="1"/>
    <x v="25"/>
    <x v="0"/>
    <x v="0"/>
    <x v="0"/>
    <x v="2"/>
    <x v="9"/>
    <x v="35"/>
    <x v="1"/>
    <x v="36"/>
  </r>
  <r>
    <x v="29"/>
    <x v="29"/>
    <x v="2"/>
    <x v="26"/>
    <x v="37"/>
    <x v="0"/>
    <x v="2"/>
    <x v="37"/>
    <n v="65.989999999999995"/>
    <x v="1"/>
    <x v="25"/>
    <x v="0"/>
    <x v="0"/>
    <x v="0"/>
    <x v="0"/>
    <x v="7"/>
    <x v="13"/>
    <x v="0"/>
    <x v="37"/>
  </r>
  <r>
    <x v="30"/>
    <x v="30"/>
    <x v="2"/>
    <x v="27"/>
    <x v="38"/>
    <x v="5"/>
    <x v="0"/>
    <x v="38"/>
    <n v="40.97"/>
    <x v="1"/>
    <x v="26"/>
    <x v="0"/>
    <x v="0"/>
    <x v="1"/>
    <x v="1"/>
    <x v="1"/>
    <x v="36"/>
    <x v="1"/>
    <x v="38"/>
  </r>
  <r>
    <x v="31"/>
    <x v="31"/>
    <x v="0"/>
    <x v="13"/>
    <x v="39"/>
    <x v="9"/>
    <x v="0"/>
    <x v="39"/>
    <n v="90.48"/>
    <x v="0"/>
    <x v="27"/>
    <x v="0"/>
    <x v="0"/>
    <x v="3"/>
    <x v="1"/>
    <x v="4"/>
    <x v="37"/>
    <x v="0"/>
    <x v="39"/>
  </r>
  <r>
    <x v="32"/>
    <x v="32"/>
    <x v="0"/>
    <x v="28"/>
    <x v="40"/>
    <x v="9"/>
    <x v="0"/>
    <x v="40"/>
    <n v="67.28"/>
    <x v="0"/>
    <x v="18"/>
    <x v="0"/>
    <x v="0"/>
    <x v="1"/>
    <x v="1"/>
    <x v="3"/>
    <x v="38"/>
    <x v="0"/>
    <x v="40"/>
  </r>
  <r>
    <x v="33"/>
    <x v="33"/>
    <x v="1"/>
    <x v="29"/>
    <x v="41"/>
    <x v="9"/>
    <x v="0"/>
    <x v="41"/>
    <n v="4.71"/>
    <x v="16"/>
    <x v="28"/>
    <x v="0"/>
    <x v="0"/>
    <x v="3"/>
    <x v="1"/>
    <x v="11"/>
    <x v="39"/>
    <x v="3"/>
    <x v="41"/>
  </r>
  <r>
    <x v="34"/>
    <x v="34"/>
    <x v="2"/>
    <x v="30"/>
    <x v="42"/>
    <x v="5"/>
    <x v="1"/>
    <x v="42"/>
    <n v="31.76"/>
    <x v="2"/>
    <x v="16"/>
    <x v="0"/>
    <x v="0"/>
    <x v="2"/>
    <x v="2"/>
    <x v="2"/>
    <x v="2"/>
    <x v="2"/>
    <x v="42"/>
  </r>
  <r>
    <x v="35"/>
    <x v="35"/>
    <x v="1"/>
    <x v="31"/>
    <x v="43"/>
    <x v="2"/>
    <x v="0"/>
    <x v="43"/>
    <n v="33.979999999999997"/>
    <x v="10"/>
    <x v="1"/>
    <x v="0"/>
    <x v="0"/>
    <x v="0"/>
    <x v="0"/>
    <x v="0"/>
    <x v="40"/>
    <x v="1"/>
    <x v="43"/>
  </r>
  <r>
    <x v="36"/>
    <x v="36"/>
    <x v="4"/>
    <x v="32"/>
    <x v="44"/>
    <x v="1"/>
    <x v="1"/>
    <x v="44"/>
    <n v="400.98"/>
    <x v="27"/>
    <x v="29"/>
    <x v="0"/>
    <x v="0"/>
    <x v="0"/>
    <x v="2"/>
    <x v="2"/>
    <x v="41"/>
    <x v="2"/>
    <x v="44"/>
  </r>
  <r>
    <x v="37"/>
    <x v="37"/>
    <x v="2"/>
    <x v="33"/>
    <x v="45"/>
    <x v="8"/>
    <x v="0"/>
    <x v="45"/>
    <n v="8.17"/>
    <x v="28"/>
    <x v="30"/>
    <x v="0"/>
    <x v="0"/>
    <x v="0"/>
    <x v="1"/>
    <x v="5"/>
    <x v="42"/>
    <x v="3"/>
    <x v="45"/>
  </r>
  <r>
    <x v="37"/>
    <x v="37"/>
    <x v="2"/>
    <x v="34"/>
    <x v="46"/>
    <x v="10"/>
    <x v="0"/>
    <x v="46"/>
    <n v="110.99"/>
    <x v="29"/>
    <x v="30"/>
    <x v="0"/>
    <x v="0"/>
    <x v="0"/>
    <x v="0"/>
    <x v="7"/>
    <x v="43"/>
    <x v="0"/>
    <x v="46"/>
  </r>
  <r>
    <x v="38"/>
    <x v="38"/>
    <x v="0"/>
    <x v="29"/>
    <x v="47"/>
    <x v="7"/>
    <x v="0"/>
    <x v="47"/>
    <n v="37.44"/>
    <x v="30"/>
    <x v="31"/>
    <x v="0"/>
    <x v="0"/>
    <x v="1"/>
    <x v="1"/>
    <x v="1"/>
    <x v="44"/>
    <x v="3"/>
    <x v="47"/>
  </r>
  <r>
    <x v="39"/>
    <x v="39"/>
    <x v="0"/>
    <x v="23"/>
    <x v="48"/>
    <x v="4"/>
    <x v="0"/>
    <x v="48"/>
    <n v="8.01"/>
    <x v="31"/>
    <x v="18"/>
    <x v="0"/>
    <x v="0"/>
    <x v="1"/>
    <x v="1"/>
    <x v="5"/>
    <x v="45"/>
    <x v="3"/>
    <x v="48"/>
  </r>
  <r>
    <x v="40"/>
    <x v="40"/>
    <x v="3"/>
    <x v="19"/>
    <x v="49"/>
    <x v="4"/>
    <x v="0"/>
    <x v="49"/>
    <n v="73.98"/>
    <x v="32"/>
    <x v="32"/>
    <x v="0"/>
    <x v="0"/>
    <x v="0"/>
    <x v="0"/>
    <x v="0"/>
    <x v="46"/>
    <x v="0"/>
    <x v="49"/>
  </r>
  <r>
    <x v="41"/>
    <x v="41"/>
    <x v="3"/>
    <x v="20"/>
    <x v="50"/>
    <x v="6"/>
    <x v="0"/>
    <x v="50"/>
    <n v="4.13"/>
    <x v="14"/>
    <x v="7"/>
    <x v="0"/>
    <x v="0"/>
    <x v="1"/>
    <x v="1"/>
    <x v="8"/>
    <x v="47"/>
    <x v="0"/>
    <x v="50"/>
  </r>
  <r>
    <x v="41"/>
    <x v="41"/>
    <x v="3"/>
    <x v="35"/>
    <x v="51"/>
    <x v="5"/>
    <x v="0"/>
    <x v="51"/>
    <n v="209.84"/>
    <x v="33"/>
    <x v="7"/>
    <x v="0"/>
    <x v="0"/>
    <x v="1"/>
    <x v="2"/>
    <x v="9"/>
    <x v="48"/>
    <x v="5"/>
    <x v="51"/>
  </r>
  <r>
    <x v="42"/>
    <x v="42"/>
    <x v="3"/>
    <x v="11"/>
    <x v="52"/>
    <x v="2"/>
    <x v="0"/>
    <x v="52"/>
    <n v="6.48"/>
    <x v="34"/>
    <x v="22"/>
    <x v="0"/>
    <x v="0"/>
    <x v="0"/>
    <x v="1"/>
    <x v="5"/>
    <x v="49"/>
    <x v="0"/>
    <x v="52"/>
  </r>
  <r>
    <x v="42"/>
    <x v="42"/>
    <x v="3"/>
    <x v="36"/>
    <x v="53"/>
    <x v="3"/>
    <x v="0"/>
    <x v="53"/>
    <n v="13.48"/>
    <x v="35"/>
    <x v="22"/>
    <x v="0"/>
    <x v="0"/>
    <x v="0"/>
    <x v="1"/>
    <x v="6"/>
    <x v="50"/>
    <x v="0"/>
    <x v="53"/>
  </r>
  <r>
    <x v="42"/>
    <x v="42"/>
    <x v="3"/>
    <x v="19"/>
    <x v="54"/>
    <x v="3"/>
    <x v="0"/>
    <x v="54"/>
    <n v="115.99"/>
    <x v="36"/>
    <x v="22"/>
    <x v="0"/>
    <x v="0"/>
    <x v="0"/>
    <x v="0"/>
    <x v="7"/>
    <x v="51"/>
    <x v="0"/>
    <x v="52"/>
  </r>
  <r>
    <x v="43"/>
    <x v="43"/>
    <x v="0"/>
    <x v="20"/>
    <x v="55"/>
    <x v="6"/>
    <x v="0"/>
    <x v="55"/>
    <n v="99.99"/>
    <x v="0"/>
    <x v="33"/>
    <x v="0"/>
    <x v="0"/>
    <x v="0"/>
    <x v="0"/>
    <x v="0"/>
    <x v="0"/>
    <x v="0"/>
    <x v="54"/>
  </r>
  <r>
    <x v="44"/>
    <x v="44"/>
    <x v="4"/>
    <x v="15"/>
    <x v="56"/>
    <x v="10"/>
    <x v="0"/>
    <x v="56"/>
    <n v="699.99"/>
    <x v="37"/>
    <x v="30"/>
    <x v="0"/>
    <x v="0"/>
    <x v="1"/>
    <x v="0"/>
    <x v="12"/>
    <x v="52"/>
    <x v="5"/>
    <x v="55"/>
  </r>
  <r>
    <x v="44"/>
    <x v="44"/>
    <x v="4"/>
    <x v="37"/>
    <x v="57"/>
    <x v="3"/>
    <x v="1"/>
    <x v="57"/>
    <n v="159.31"/>
    <x v="38"/>
    <x v="30"/>
    <x v="0"/>
    <x v="0"/>
    <x v="1"/>
    <x v="2"/>
    <x v="2"/>
    <x v="53"/>
    <x v="6"/>
    <x v="56"/>
  </r>
  <r>
    <x v="45"/>
    <x v="45"/>
    <x v="3"/>
    <x v="38"/>
    <x v="58"/>
    <x v="7"/>
    <x v="0"/>
    <x v="58"/>
    <n v="10.89"/>
    <x v="39"/>
    <x v="4"/>
    <x v="0"/>
    <x v="0"/>
    <x v="2"/>
    <x v="1"/>
    <x v="13"/>
    <x v="54"/>
    <x v="0"/>
    <x v="57"/>
  </r>
  <r>
    <x v="45"/>
    <x v="45"/>
    <x v="3"/>
    <x v="14"/>
    <x v="59"/>
    <x v="10"/>
    <x v="0"/>
    <x v="59"/>
    <n v="10.64"/>
    <x v="40"/>
    <x v="4"/>
    <x v="0"/>
    <x v="0"/>
    <x v="2"/>
    <x v="2"/>
    <x v="9"/>
    <x v="55"/>
    <x v="0"/>
    <x v="57"/>
  </r>
  <r>
    <x v="45"/>
    <x v="45"/>
    <x v="3"/>
    <x v="35"/>
    <x v="60"/>
    <x v="10"/>
    <x v="0"/>
    <x v="60"/>
    <n v="7.96"/>
    <x v="41"/>
    <x v="4"/>
    <x v="0"/>
    <x v="0"/>
    <x v="2"/>
    <x v="2"/>
    <x v="9"/>
    <x v="56"/>
    <x v="0"/>
    <x v="58"/>
  </r>
  <r>
    <x v="46"/>
    <x v="46"/>
    <x v="4"/>
    <x v="9"/>
    <x v="61"/>
    <x v="8"/>
    <x v="0"/>
    <x v="61"/>
    <n v="25.98"/>
    <x v="42"/>
    <x v="34"/>
    <x v="0"/>
    <x v="0"/>
    <x v="0"/>
    <x v="1"/>
    <x v="13"/>
    <x v="57"/>
    <x v="4"/>
    <x v="59"/>
  </r>
  <r>
    <x v="46"/>
    <x v="46"/>
    <x v="4"/>
    <x v="37"/>
    <x v="62"/>
    <x v="7"/>
    <x v="0"/>
    <x v="62"/>
    <n v="2.78"/>
    <x v="18"/>
    <x v="34"/>
    <x v="0"/>
    <x v="0"/>
    <x v="0"/>
    <x v="1"/>
    <x v="1"/>
    <x v="25"/>
    <x v="3"/>
    <x v="60"/>
  </r>
  <r>
    <x v="47"/>
    <x v="47"/>
    <x v="2"/>
    <x v="39"/>
    <x v="63"/>
    <x v="7"/>
    <x v="0"/>
    <x v="63"/>
    <n v="6.48"/>
    <x v="43"/>
    <x v="35"/>
    <x v="0"/>
    <x v="0"/>
    <x v="3"/>
    <x v="1"/>
    <x v="5"/>
    <x v="58"/>
    <x v="0"/>
    <x v="61"/>
  </r>
  <r>
    <x v="48"/>
    <x v="48"/>
    <x v="3"/>
    <x v="9"/>
    <x v="64"/>
    <x v="4"/>
    <x v="2"/>
    <x v="64"/>
    <n v="2.08"/>
    <x v="23"/>
    <x v="0"/>
    <x v="0"/>
    <x v="0"/>
    <x v="0"/>
    <x v="2"/>
    <x v="9"/>
    <x v="30"/>
    <x v="0"/>
    <x v="62"/>
  </r>
  <r>
    <x v="48"/>
    <x v="48"/>
    <x v="3"/>
    <x v="22"/>
    <x v="65"/>
    <x v="1"/>
    <x v="2"/>
    <x v="65"/>
    <n v="15.42"/>
    <x v="12"/>
    <x v="0"/>
    <x v="0"/>
    <x v="0"/>
    <x v="0"/>
    <x v="1"/>
    <x v="6"/>
    <x v="12"/>
    <x v="0"/>
    <x v="8"/>
  </r>
  <r>
    <x v="49"/>
    <x v="49"/>
    <x v="1"/>
    <x v="14"/>
    <x v="66"/>
    <x v="4"/>
    <x v="0"/>
    <x v="66"/>
    <n v="4.37"/>
    <x v="44"/>
    <x v="36"/>
    <x v="0"/>
    <x v="0"/>
    <x v="3"/>
    <x v="1"/>
    <x v="13"/>
    <x v="59"/>
    <x v="0"/>
    <x v="63"/>
  </r>
  <r>
    <x v="49"/>
    <x v="49"/>
    <x v="1"/>
    <x v="27"/>
    <x v="67"/>
    <x v="7"/>
    <x v="0"/>
    <x v="67"/>
    <n v="19.84"/>
    <x v="45"/>
    <x v="36"/>
    <x v="0"/>
    <x v="0"/>
    <x v="3"/>
    <x v="1"/>
    <x v="1"/>
    <x v="60"/>
    <x v="3"/>
    <x v="63"/>
  </r>
  <r>
    <x v="50"/>
    <x v="50"/>
    <x v="3"/>
    <x v="18"/>
    <x v="68"/>
    <x v="6"/>
    <x v="0"/>
    <x v="68"/>
    <n v="15.98"/>
    <x v="13"/>
    <x v="37"/>
    <x v="0"/>
    <x v="0"/>
    <x v="2"/>
    <x v="0"/>
    <x v="0"/>
    <x v="23"/>
    <x v="0"/>
    <x v="64"/>
  </r>
  <r>
    <x v="51"/>
    <x v="51"/>
    <x v="2"/>
    <x v="37"/>
    <x v="69"/>
    <x v="6"/>
    <x v="0"/>
    <x v="69"/>
    <n v="33.979999999999997"/>
    <x v="10"/>
    <x v="1"/>
    <x v="0"/>
    <x v="0"/>
    <x v="0"/>
    <x v="0"/>
    <x v="0"/>
    <x v="40"/>
    <x v="1"/>
    <x v="65"/>
  </r>
  <r>
    <x v="52"/>
    <x v="52"/>
    <x v="2"/>
    <x v="40"/>
    <x v="70"/>
    <x v="3"/>
    <x v="0"/>
    <x v="70"/>
    <n v="2.62"/>
    <x v="46"/>
    <x v="38"/>
    <x v="0"/>
    <x v="0"/>
    <x v="0"/>
    <x v="1"/>
    <x v="11"/>
    <x v="61"/>
    <x v="3"/>
    <x v="66"/>
  </r>
  <r>
    <x v="53"/>
    <x v="53"/>
    <x v="3"/>
    <x v="5"/>
    <x v="71"/>
    <x v="5"/>
    <x v="0"/>
    <x v="71"/>
    <n v="6.64"/>
    <x v="41"/>
    <x v="39"/>
    <x v="0"/>
    <x v="0"/>
    <x v="1"/>
    <x v="2"/>
    <x v="9"/>
    <x v="62"/>
    <x v="1"/>
    <x v="67"/>
  </r>
  <r>
    <x v="54"/>
    <x v="54"/>
    <x v="0"/>
    <x v="17"/>
    <x v="72"/>
    <x v="9"/>
    <x v="2"/>
    <x v="72"/>
    <n v="2.94"/>
    <x v="47"/>
    <x v="7"/>
    <x v="0"/>
    <x v="0"/>
    <x v="1"/>
    <x v="1"/>
    <x v="1"/>
    <x v="63"/>
    <x v="3"/>
    <x v="68"/>
  </r>
  <r>
    <x v="54"/>
    <x v="54"/>
    <x v="0"/>
    <x v="9"/>
    <x v="73"/>
    <x v="0"/>
    <x v="0"/>
    <x v="73"/>
    <n v="1.81"/>
    <x v="48"/>
    <x v="7"/>
    <x v="0"/>
    <x v="0"/>
    <x v="1"/>
    <x v="1"/>
    <x v="11"/>
    <x v="64"/>
    <x v="3"/>
    <x v="69"/>
  </r>
  <r>
    <x v="55"/>
    <x v="55"/>
    <x v="4"/>
    <x v="8"/>
    <x v="74"/>
    <x v="7"/>
    <x v="0"/>
    <x v="74"/>
    <n v="47.9"/>
    <x v="49"/>
    <x v="40"/>
    <x v="0"/>
    <x v="0"/>
    <x v="2"/>
    <x v="1"/>
    <x v="5"/>
    <x v="65"/>
    <x v="0"/>
    <x v="70"/>
  </r>
  <r>
    <x v="56"/>
    <x v="56"/>
    <x v="1"/>
    <x v="26"/>
    <x v="75"/>
    <x v="1"/>
    <x v="0"/>
    <x v="75"/>
    <n v="178.47"/>
    <x v="0"/>
    <x v="13"/>
    <x v="0"/>
    <x v="0"/>
    <x v="2"/>
    <x v="1"/>
    <x v="6"/>
    <x v="16"/>
    <x v="0"/>
    <x v="71"/>
  </r>
  <r>
    <x v="57"/>
    <x v="57"/>
    <x v="4"/>
    <x v="30"/>
    <x v="76"/>
    <x v="0"/>
    <x v="1"/>
    <x v="76"/>
    <n v="376.13"/>
    <x v="50"/>
    <x v="41"/>
    <x v="0"/>
    <x v="0"/>
    <x v="3"/>
    <x v="2"/>
    <x v="2"/>
    <x v="66"/>
    <x v="2"/>
    <x v="72"/>
  </r>
  <r>
    <x v="58"/>
    <x v="58"/>
    <x v="2"/>
    <x v="30"/>
    <x v="77"/>
    <x v="7"/>
    <x v="0"/>
    <x v="77"/>
    <n v="1.74"/>
    <x v="51"/>
    <x v="30"/>
    <x v="0"/>
    <x v="0"/>
    <x v="0"/>
    <x v="2"/>
    <x v="9"/>
    <x v="67"/>
    <x v="1"/>
    <x v="73"/>
  </r>
  <r>
    <x v="59"/>
    <x v="59"/>
    <x v="0"/>
    <x v="0"/>
    <x v="78"/>
    <x v="7"/>
    <x v="0"/>
    <x v="78"/>
    <n v="13.73"/>
    <x v="1"/>
    <x v="23"/>
    <x v="0"/>
    <x v="0"/>
    <x v="2"/>
    <x v="2"/>
    <x v="9"/>
    <x v="68"/>
    <x v="1"/>
    <x v="74"/>
  </r>
  <r>
    <x v="60"/>
    <x v="60"/>
    <x v="2"/>
    <x v="39"/>
    <x v="79"/>
    <x v="7"/>
    <x v="0"/>
    <x v="79"/>
    <n v="39.479999999999997"/>
    <x v="10"/>
    <x v="42"/>
    <x v="0"/>
    <x v="0"/>
    <x v="0"/>
    <x v="0"/>
    <x v="0"/>
    <x v="69"/>
    <x v="1"/>
    <x v="75"/>
  </r>
  <r>
    <x v="61"/>
    <x v="61"/>
    <x v="3"/>
    <x v="41"/>
    <x v="80"/>
    <x v="5"/>
    <x v="0"/>
    <x v="80"/>
    <n v="27.42"/>
    <x v="52"/>
    <x v="22"/>
    <x v="0"/>
    <x v="0"/>
    <x v="0"/>
    <x v="2"/>
    <x v="9"/>
    <x v="70"/>
    <x v="0"/>
    <x v="76"/>
  </r>
  <r>
    <x v="61"/>
    <x v="61"/>
    <x v="3"/>
    <x v="19"/>
    <x v="81"/>
    <x v="3"/>
    <x v="1"/>
    <x v="81"/>
    <n v="320.64"/>
    <x v="53"/>
    <x v="22"/>
    <x v="0"/>
    <x v="0"/>
    <x v="0"/>
    <x v="2"/>
    <x v="2"/>
    <x v="71"/>
    <x v="2"/>
    <x v="77"/>
  </r>
  <r>
    <x v="62"/>
    <x v="62"/>
    <x v="3"/>
    <x v="10"/>
    <x v="82"/>
    <x v="8"/>
    <x v="0"/>
    <x v="82"/>
    <n v="4.8899999999999997"/>
    <x v="54"/>
    <x v="40"/>
    <x v="0"/>
    <x v="0"/>
    <x v="2"/>
    <x v="0"/>
    <x v="0"/>
    <x v="72"/>
    <x v="1"/>
    <x v="78"/>
  </r>
  <r>
    <x v="63"/>
    <x v="63"/>
    <x v="4"/>
    <x v="40"/>
    <x v="83"/>
    <x v="8"/>
    <x v="1"/>
    <x v="83"/>
    <n v="135.99"/>
    <x v="55"/>
    <x v="43"/>
    <x v="0"/>
    <x v="0"/>
    <x v="0"/>
    <x v="2"/>
    <x v="14"/>
    <x v="73"/>
    <x v="6"/>
    <x v="79"/>
  </r>
  <r>
    <x v="64"/>
    <x v="64"/>
    <x v="1"/>
    <x v="42"/>
    <x v="84"/>
    <x v="8"/>
    <x v="0"/>
    <x v="84"/>
    <n v="2.1800000000000002"/>
    <x v="56"/>
    <x v="15"/>
    <x v="0"/>
    <x v="0"/>
    <x v="2"/>
    <x v="1"/>
    <x v="5"/>
    <x v="74"/>
    <x v="3"/>
    <x v="80"/>
  </r>
  <r>
    <x v="64"/>
    <x v="64"/>
    <x v="1"/>
    <x v="1"/>
    <x v="85"/>
    <x v="6"/>
    <x v="0"/>
    <x v="85"/>
    <n v="20.98"/>
    <x v="3"/>
    <x v="15"/>
    <x v="0"/>
    <x v="0"/>
    <x v="2"/>
    <x v="1"/>
    <x v="6"/>
    <x v="75"/>
    <x v="0"/>
    <x v="80"/>
  </r>
  <r>
    <x v="65"/>
    <x v="65"/>
    <x v="4"/>
    <x v="3"/>
    <x v="86"/>
    <x v="5"/>
    <x v="1"/>
    <x v="86"/>
    <n v="95.95"/>
    <x v="57"/>
    <x v="13"/>
    <x v="0"/>
    <x v="0"/>
    <x v="2"/>
    <x v="2"/>
    <x v="14"/>
    <x v="76"/>
    <x v="6"/>
    <x v="81"/>
  </r>
  <r>
    <x v="65"/>
    <x v="65"/>
    <x v="4"/>
    <x v="42"/>
    <x v="87"/>
    <x v="8"/>
    <x v="0"/>
    <x v="87"/>
    <n v="34.58"/>
    <x v="1"/>
    <x v="13"/>
    <x v="0"/>
    <x v="0"/>
    <x v="2"/>
    <x v="1"/>
    <x v="1"/>
    <x v="77"/>
    <x v="1"/>
    <x v="81"/>
  </r>
  <r>
    <x v="66"/>
    <x v="66"/>
    <x v="1"/>
    <x v="34"/>
    <x v="88"/>
    <x v="3"/>
    <x v="0"/>
    <x v="88"/>
    <n v="2.61"/>
    <x v="14"/>
    <x v="30"/>
    <x v="0"/>
    <x v="0"/>
    <x v="2"/>
    <x v="1"/>
    <x v="8"/>
    <x v="78"/>
    <x v="0"/>
    <x v="82"/>
  </r>
  <r>
    <x v="67"/>
    <x v="67"/>
    <x v="0"/>
    <x v="33"/>
    <x v="89"/>
    <x v="7"/>
    <x v="2"/>
    <x v="89"/>
    <n v="6.48"/>
    <x v="58"/>
    <x v="22"/>
    <x v="0"/>
    <x v="0"/>
    <x v="3"/>
    <x v="1"/>
    <x v="5"/>
    <x v="79"/>
    <x v="0"/>
    <x v="83"/>
  </r>
  <r>
    <x v="68"/>
    <x v="68"/>
    <x v="2"/>
    <x v="37"/>
    <x v="90"/>
    <x v="1"/>
    <x v="1"/>
    <x v="90"/>
    <n v="115.99"/>
    <x v="59"/>
    <x v="44"/>
    <x v="0"/>
    <x v="0"/>
    <x v="3"/>
    <x v="0"/>
    <x v="15"/>
    <x v="80"/>
    <x v="6"/>
    <x v="84"/>
  </r>
  <r>
    <x v="68"/>
    <x v="68"/>
    <x v="2"/>
    <x v="36"/>
    <x v="91"/>
    <x v="1"/>
    <x v="0"/>
    <x v="91"/>
    <n v="4.28"/>
    <x v="60"/>
    <x v="44"/>
    <x v="0"/>
    <x v="0"/>
    <x v="3"/>
    <x v="1"/>
    <x v="1"/>
    <x v="81"/>
    <x v="3"/>
    <x v="85"/>
  </r>
  <r>
    <x v="69"/>
    <x v="69"/>
    <x v="1"/>
    <x v="22"/>
    <x v="92"/>
    <x v="2"/>
    <x v="2"/>
    <x v="92"/>
    <n v="11.66"/>
    <x v="1"/>
    <x v="45"/>
    <x v="0"/>
    <x v="0"/>
    <x v="0"/>
    <x v="1"/>
    <x v="1"/>
    <x v="82"/>
    <x v="1"/>
    <x v="86"/>
  </r>
  <r>
    <x v="70"/>
    <x v="70"/>
    <x v="3"/>
    <x v="42"/>
    <x v="93"/>
    <x v="5"/>
    <x v="0"/>
    <x v="93"/>
    <n v="105.34"/>
    <x v="37"/>
    <x v="28"/>
    <x v="0"/>
    <x v="0"/>
    <x v="3"/>
    <x v="2"/>
    <x v="9"/>
    <x v="83"/>
    <x v="5"/>
    <x v="87"/>
  </r>
  <r>
    <x v="71"/>
    <x v="71"/>
    <x v="3"/>
    <x v="12"/>
    <x v="94"/>
    <x v="8"/>
    <x v="0"/>
    <x v="94"/>
    <n v="17.670000000000002"/>
    <x v="1"/>
    <x v="30"/>
    <x v="0"/>
    <x v="0"/>
    <x v="1"/>
    <x v="2"/>
    <x v="9"/>
    <x v="84"/>
    <x v="1"/>
    <x v="88"/>
  </r>
  <r>
    <x v="72"/>
    <x v="72"/>
    <x v="3"/>
    <x v="42"/>
    <x v="95"/>
    <x v="3"/>
    <x v="2"/>
    <x v="95"/>
    <n v="9.99"/>
    <x v="61"/>
    <x v="46"/>
    <x v="0"/>
    <x v="0"/>
    <x v="2"/>
    <x v="0"/>
    <x v="15"/>
    <x v="85"/>
    <x v="4"/>
    <x v="89"/>
  </r>
  <r>
    <x v="73"/>
    <x v="73"/>
    <x v="4"/>
    <x v="7"/>
    <x v="96"/>
    <x v="5"/>
    <x v="0"/>
    <x v="96"/>
    <n v="9.99"/>
    <x v="62"/>
    <x v="47"/>
    <x v="0"/>
    <x v="0"/>
    <x v="0"/>
    <x v="1"/>
    <x v="5"/>
    <x v="86"/>
    <x v="0"/>
    <x v="13"/>
  </r>
  <r>
    <x v="74"/>
    <x v="74"/>
    <x v="1"/>
    <x v="27"/>
    <x v="97"/>
    <x v="2"/>
    <x v="0"/>
    <x v="97"/>
    <n v="55.48"/>
    <x v="63"/>
    <x v="48"/>
    <x v="0"/>
    <x v="0"/>
    <x v="0"/>
    <x v="1"/>
    <x v="5"/>
    <x v="87"/>
    <x v="0"/>
    <x v="90"/>
  </r>
  <r>
    <x v="75"/>
    <x v="75"/>
    <x v="1"/>
    <x v="14"/>
    <x v="98"/>
    <x v="4"/>
    <x v="0"/>
    <x v="98"/>
    <n v="14.34"/>
    <x v="64"/>
    <x v="6"/>
    <x v="0"/>
    <x v="0"/>
    <x v="0"/>
    <x v="2"/>
    <x v="9"/>
    <x v="88"/>
    <x v="1"/>
    <x v="91"/>
  </r>
  <r>
    <x v="75"/>
    <x v="75"/>
    <x v="1"/>
    <x v="32"/>
    <x v="99"/>
    <x v="2"/>
    <x v="0"/>
    <x v="99"/>
    <n v="30.98"/>
    <x v="65"/>
    <x v="6"/>
    <x v="0"/>
    <x v="0"/>
    <x v="0"/>
    <x v="1"/>
    <x v="5"/>
    <x v="89"/>
    <x v="0"/>
    <x v="91"/>
  </r>
  <r>
    <x v="76"/>
    <x v="76"/>
    <x v="0"/>
    <x v="43"/>
    <x v="100"/>
    <x v="2"/>
    <x v="2"/>
    <x v="100"/>
    <n v="101.41"/>
    <x v="66"/>
    <x v="49"/>
    <x v="0"/>
    <x v="0"/>
    <x v="0"/>
    <x v="1"/>
    <x v="6"/>
    <x v="90"/>
    <x v="5"/>
    <x v="92"/>
  </r>
  <r>
    <x v="76"/>
    <x v="76"/>
    <x v="0"/>
    <x v="21"/>
    <x v="101"/>
    <x v="8"/>
    <x v="0"/>
    <x v="101"/>
    <n v="95.99"/>
    <x v="67"/>
    <x v="49"/>
    <x v="0"/>
    <x v="0"/>
    <x v="0"/>
    <x v="0"/>
    <x v="7"/>
    <x v="91"/>
    <x v="0"/>
    <x v="92"/>
  </r>
  <r>
    <x v="77"/>
    <x v="77"/>
    <x v="4"/>
    <x v="16"/>
    <x v="102"/>
    <x v="8"/>
    <x v="0"/>
    <x v="102"/>
    <n v="8.1199999999999992"/>
    <x v="68"/>
    <x v="50"/>
    <x v="0"/>
    <x v="0"/>
    <x v="2"/>
    <x v="0"/>
    <x v="0"/>
    <x v="92"/>
    <x v="1"/>
    <x v="93"/>
  </r>
  <r>
    <x v="78"/>
    <x v="78"/>
    <x v="4"/>
    <x v="2"/>
    <x v="103"/>
    <x v="2"/>
    <x v="1"/>
    <x v="103"/>
    <n v="89.99"/>
    <x v="69"/>
    <x v="30"/>
    <x v="0"/>
    <x v="0"/>
    <x v="0"/>
    <x v="2"/>
    <x v="14"/>
    <x v="93"/>
    <x v="6"/>
    <x v="94"/>
  </r>
  <r>
    <x v="79"/>
    <x v="79"/>
    <x v="3"/>
    <x v="25"/>
    <x v="104"/>
    <x v="3"/>
    <x v="0"/>
    <x v="104"/>
    <n v="95.99"/>
    <x v="66"/>
    <x v="16"/>
    <x v="0"/>
    <x v="0"/>
    <x v="2"/>
    <x v="1"/>
    <x v="6"/>
    <x v="94"/>
    <x v="5"/>
    <x v="95"/>
  </r>
  <r>
    <x v="79"/>
    <x v="79"/>
    <x v="3"/>
    <x v="44"/>
    <x v="105"/>
    <x v="9"/>
    <x v="0"/>
    <x v="105"/>
    <n v="125.99"/>
    <x v="1"/>
    <x v="16"/>
    <x v="0"/>
    <x v="0"/>
    <x v="2"/>
    <x v="0"/>
    <x v="7"/>
    <x v="95"/>
    <x v="0"/>
    <x v="96"/>
  </r>
  <r>
    <x v="80"/>
    <x v="80"/>
    <x v="2"/>
    <x v="12"/>
    <x v="106"/>
    <x v="10"/>
    <x v="2"/>
    <x v="106"/>
    <n v="48.92"/>
    <x v="39"/>
    <x v="23"/>
    <x v="0"/>
    <x v="0"/>
    <x v="2"/>
    <x v="1"/>
    <x v="13"/>
    <x v="96"/>
    <x v="0"/>
    <x v="97"/>
  </r>
  <r>
    <x v="80"/>
    <x v="80"/>
    <x v="2"/>
    <x v="8"/>
    <x v="107"/>
    <x v="2"/>
    <x v="0"/>
    <x v="107"/>
    <n v="4.13"/>
    <x v="14"/>
    <x v="23"/>
    <x v="0"/>
    <x v="0"/>
    <x v="2"/>
    <x v="1"/>
    <x v="8"/>
    <x v="47"/>
    <x v="0"/>
    <x v="97"/>
  </r>
  <r>
    <x v="80"/>
    <x v="80"/>
    <x v="2"/>
    <x v="22"/>
    <x v="108"/>
    <x v="8"/>
    <x v="0"/>
    <x v="108"/>
    <n v="2.88"/>
    <x v="70"/>
    <x v="23"/>
    <x v="0"/>
    <x v="0"/>
    <x v="2"/>
    <x v="1"/>
    <x v="1"/>
    <x v="97"/>
    <x v="3"/>
    <x v="97"/>
  </r>
  <r>
    <x v="81"/>
    <x v="81"/>
    <x v="0"/>
    <x v="40"/>
    <x v="109"/>
    <x v="0"/>
    <x v="0"/>
    <x v="1"/>
    <n v="6.08"/>
    <x v="71"/>
    <x v="26"/>
    <x v="0"/>
    <x v="0"/>
    <x v="0"/>
    <x v="1"/>
    <x v="1"/>
    <x v="98"/>
    <x v="3"/>
    <x v="98"/>
  </r>
  <r>
    <x v="81"/>
    <x v="81"/>
    <x v="0"/>
    <x v="27"/>
    <x v="110"/>
    <x v="1"/>
    <x v="0"/>
    <x v="109"/>
    <n v="19.899999999999999"/>
    <x v="72"/>
    <x v="26"/>
    <x v="0"/>
    <x v="0"/>
    <x v="0"/>
    <x v="1"/>
    <x v="13"/>
    <x v="99"/>
    <x v="4"/>
    <x v="99"/>
  </r>
  <r>
    <x v="81"/>
    <x v="81"/>
    <x v="0"/>
    <x v="26"/>
    <x v="111"/>
    <x v="9"/>
    <x v="0"/>
    <x v="110"/>
    <n v="3.36"/>
    <x v="9"/>
    <x v="26"/>
    <x v="0"/>
    <x v="0"/>
    <x v="0"/>
    <x v="1"/>
    <x v="3"/>
    <x v="9"/>
    <x v="0"/>
    <x v="99"/>
  </r>
  <r>
    <x v="82"/>
    <x v="82"/>
    <x v="3"/>
    <x v="20"/>
    <x v="112"/>
    <x v="2"/>
    <x v="0"/>
    <x v="111"/>
    <n v="30.73"/>
    <x v="13"/>
    <x v="33"/>
    <x v="0"/>
    <x v="0"/>
    <x v="0"/>
    <x v="0"/>
    <x v="0"/>
    <x v="100"/>
    <x v="0"/>
    <x v="100"/>
  </r>
  <r>
    <x v="83"/>
    <x v="83"/>
    <x v="4"/>
    <x v="9"/>
    <x v="113"/>
    <x v="0"/>
    <x v="2"/>
    <x v="112"/>
    <n v="8.85"/>
    <x v="73"/>
    <x v="51"/>
    <x v="0"/>
    <x v="0"/>
    <x v="2"/>
    <x v="1"/>
    <x v="3"/>
    <x v="101"/>
    <x v="0"/>
    <x v="101"/>
  </r>
  <r>
    <x v="83"/>
    <x v="83"/>
    <x v="4"/>
    <x v="0"/>
    <x v="114"/>
    <x v="6"/>
    <x v="0"/>
    <x v="113"/>
    <n v="449.99"/>
    <x v="37"/>
    <x v="51"/>
    <x v="0"/>
    <x v="0"/>
    <x v="2"/>
    <x v="0"/>
    <x v="12"/>
    <x v="102"/>
    <x v="5"/>
    <x v="102"/>
  </r>
  <r>
    <x v="84"/>
    <x v="84"/>
    <x v="3"/>
    <x v="45"/>
    <x v="115"/>
    <x v="8"/>
    <x v="0"/>
    <x v="114"/>
    <n v="34.229999999999997"/>
    <x v="74"/>
    <x v="32"/>
    <x v="0"/>
    <x v="0"/>
    <x v="0"/>
    <x v="2"/>
    <x v="9"/>
    <x v="103"/>
    <x v="0"/>
    <x v="103"/>
  </r>
  <r>
    <x v="85"/>
    <x v="85"/>
    <x v="4"/>
    <x v="36"/>
    <x v="116"/>
    <x v="7"/>
    <x v="1"/>
    <x v="115"/>
    <n v="100.98"/>
    <x v="75"/>
    <x v="38"/>
    <x v="0"/>
    <x v="0"/>
    <x v="0"/>
    <x v="2"/>
    <x v="10"/>
    <x v="104"/>
    <x v="2"/>
    <x v="104"/>
  </r>
  <r>
    <x v="86"/>
    <x v="86"/>
    <x v="4"/>
    <x v="16"/>
    <x v="117"/>
    <x v="2"/>
    <x v="0"/>
    <x v="116"/>
    <n v="65.989999999999995"/>
    <x v="76"/>
    <x v="33"/>
    <x v="0"/>
    <x v="0"/>
    <x v="0"/>
    <x v="0"/>
    <x v="7"/>
    <x v="105"/>
    <x v="0"/>
    <x v="105"/>
  </r>
  <r>
    <x v="87"/>
    <x v="87"/>
    <x v="3"/>
    <x v="19"/>
    <x v="118"/>
    <x v="10"/>
    <x v="0"/>
    <x v="117"/>
    <n v="5.08"/>
    <x v="77"/>
    <x v="48"/>
    <x v="0"/>
    <x v="0"/>
    <x v="3"/>
    <x v="2"/>
    <x v="9"/>
    <x v="106"/>
    <x v="3"/>
    <x v="106"/>
  </r>
  <r>
    <x v="88"/>
    <x v="88"/>
    <x v="3"/>
    <x v="46"/>
    <x v="119"/>
    <x v="3"/>
    <x v="0"/>
    <x v="118"/>
    <n v="209.84"/>
    <x v="33"/>
    <x v="18"/>
    <x v="0"/>
    <x v="0"/>
    <x v="1"/>
    <x v="2"/>
    <x v="9"/>
    <x v="48"/>
    <x v="5"/>
    <x v="60"/>
  </r>
  <r>
    <x v="89"/>
    <x v="89"/>
    <x v="1"/>
    <x v="36"/>
    <x v="120"/>
    <x v="0"/>
    <x v="0"/>
    <x v="119"/>
    <n v="4.28"/>
    <x v="60"/>
    <x v="32"/>
    <x v="0"/>
    <x v="0"/>
    <x v="0"/>
    <x v="1"/>
    <x v="1"/>
    <x v="81"/>
    <x v="3"/>
    <x v="107"/>
  </r>
  <r>
    <x v="90"/>
    <x v="90"/>
    <x v="0"/>
    <x v="0"/>
    <x v="121"/>
    <x v="10"/>
    <x v="0"/>
    <x v="120"/>
    <n v="95.99"/>
    <x v="66"/>
    <x v="52"/>
    <x v="0"/>
    <x v="0"/>
    <x v="0"/>
    <x v="1"/>
    <x v="6"/>
    <x v="94"/>
    <x v="5"/>
    <x v="108"/>
  </r>
  <r>
    <x v="91"/>
    <x v="91"/>
    <x v="2"/>
    <x v="2"/>
    <x v="122"/>
    <x v="1"/>
    <x v="0"/>
    <x v="121"/>
    <n v="289.52999999999997"/>
    <x v="0"/>
    <x v="48"/>
    <x v="0"/>
    <x v="0"/>
    <x v="0"/>
    <x v="1"/>
    <x v="13"/>
    <x v="107"/>
    <x v="0"/>
    <x v="109"/>
  </r>
  <r>
    <x v="91"/>
    <x v="91"/>
    <x v="2"/>
    <x v="47"/>
    <x v="123"/>
    <x v="1"/>
    <x v="0"/>
    <x v="122"/>
    <n v="6.48"/>
    <x v="78"/>
    <x v="48"/>
    <x v="0"/>
    <x v="0"/>
    <x v="0"/>
    <x v="1"/>
    <x v="5"/>
    <x v="108"/>
    <x v="0"/>
    <x v="110"/>
  </r>
  <r>
    <x v="92"/>
    <x v="92"/>
    <x v="3"/>
    <x v="44"/>
    <x v="124"/>
    <x v="5"/>
    <x v="0"/>
    <x v="123"/>
    <n v="8.5"/>
    <x v="10"/>
    <x v="53"/>
    <x v="0"/>
    <x v="0"/>
    <x v="2"/>
    <x v="0"/>
    <x v="0"/>
    <x v="109"/>
    <x v="1"/>
    <x v="111"/>
  </r>
  <r>
    <x v="92"/>
    <x v="92"/>
    <x v="3"/>
    <x v="19"/>
    <x v="125"/>
    <x v="8"/>
    <x v="0"/>
    <x v="124"/>
    <n v="15.99"/>
    <x v="79"/>
    <x v="53"/>
    <x v="0"/>
    <x v="0"/>
    <x v="2"/>
    <x v="0"/>
    <x v="15"/>
    <x v="110"/>
    <x v="0"/>
    <x v="112"/>
  </r>
  <r>
    <x v="92"/>
    <x v="92"/>
    <x v="3"/>
    <x v="41"/>
    <x v="126"/>
    <x v="3"/>
    <x v="0"/>
    <x v="125"/>
    <n v="95.99"/>
    <x v="1"/>
    <x v="53"/>
    <x v="0"/>
    <x v="0"/>
    <x v="2"/>
    <x v="0"/>
    <x v="7"/>
    <x v="111"/>
    <x v="0"/>
    <x v="113"/>
  </r>
  <r>
    <x v="93"/>
    <x v="93"/>
    <x v="3"/>
    <x v="34"/>
    <x v="127"/>
    <x v="1"/>
    <x v="0"/>
    <x v="126"/>
    <n v="6.48"/>
    <x v="80"/>
    <x v="54"/>
    <x v="0"/>
    <x v="0"/>
    <x v="3"/>
    <x v="1"/>
    <x v="5"/>
    <x v="112"/>
    <x v="0"/>
    <x v="65"/>
  </r>
  <r>
    <x v="94"/>
    <x v="94"/>
    <x v="4"/>
    <x v="47"/>
    <x v="128"/>
    <x v="1"/>
    <x v="0"/>
    <x v="127"/>
    <n v="3.89"/>
    <x v="81"/>
    <x v="26"/>
    <x v="0"/>
    <x v="0"/>
    <x v="0"/>
    <x v="1"/>
    <x v="3"/>
    <x v="113"/>
    <x v="0"/>
    <x v="114"/>
  </r>
  <r>
    <x v="95"/>
    <x v="95"/>
    <x v="1"/>
    <x v="31"/>
    <x v="129"/>
    <x v="4"/>
    <x v="0"/>
    <x v="128"/>
    <n v="11.7"/>
    <x v="82"/>
    <x v="55"/>
    <x v="0"/>
    <x v="0"/>
    <x v="0"/>
    <x v="1"/>
    <x v="3"/>
    <x v="114"/>
    <x v="0"/>
    <x v="115"/>
  </r>
  <r>
    <x v="96"/>
    <x v="96"/>
    <x v="5"/>
    <x v="28"/>
    <x v="130"/>
    <x v="7"/>
    <x v="1"/>
    <x v="129"/>
    <n v="160.97999999999999"/>
    <x v="83"/>
    <x v="15"/>
    <x v="0"/>
    <x v="0"/>
    <x v="2"/>
    <x v="2"/>
    <x v="10"/>
    <x v="115"/>
    <x v="2"/>
    <x v="116"/>
  </r>
  <r>
    <x v="97"/>
    <x v="97"/>
    <x v="5"/>
    <x v="28"/>
    <x v="131"/>
    <x v="0"/>
    <x v="0"/>
    <x v="130"/>
    <n v="125.99"/>
    <x v="84"/>
    <x v="32"/>
    <x v="0"/>
    <x v="0"/>
    <x v="0"/>
    <x v="0"/>
    <x v="7"/>
    <x v="116"/>
    <x v="0"/>
    <x v="117"/>
  </r>
  <r>
    <x v="98"/>
    <x v="1"/>
    <x v="5"/>
    <x v="34"/>
    <x v="132"/>
    <x v="0"/>
    <x v="0"/>
    <x v="131"/>
    <n v="6.88"/>
    <x v="85"/>
    <x v="39"/>
    <x v="0"/>
    <x v="0"/>
    <x v="1"/>
    <x v="1"/>
    <x v="5"/>
    <x v="117"/>
    <x v="3"/>
    <x v="2"/>
  </r>
  <r>
    <x v="98"/>
    <x v="1"/>
    <x v="5"/>
    <x v="42"/>
    <x v="133"/>
    <x v="6"/>
    <x v="0"/>
    <x v="132"/>
    <n v="2.52"/>
    <x v="86"/>
    <x v="39"/>
    <x v="0"/>
    <x v="0"/>
    <x v="1"/>
    <x v="1"/>
    <x v="1"/>
    <x v="118"/>
    <x v="3"/>
    <x v="2"/>
  </r>
  <r>
    <x v="99"/>
    <x v="98"/>
    <x v="5"/>
    <x v="47"/>
    <x v="134"/>
    <x v="7"/>
    <x v="0"/>
    <x v="133"/>
    <n v="175.99"/>
    <x v="1"/>
    <x v="0"/>
    <x v="0"/>
    <x v="0"/>
    <x v="0"/>
    <x v="0"/>
    <x v="7"/>
    <x v="119"/>
    <x v="0"/>
    <x v="118"/>
  </r>
  <r>
    <x v="100"/>
    <x v="99"/>
    <x v="5"/>
    <x v="8"/>
    <x v="135"/>
    <x v="3"/>
    <x v="0"/>
    <x v="134"/>
    <n v="19.98"/>
    <x v="13"/>
    <x v="21"/>
    <x v="0"/>
    <x v="0"/>
    <x v="3"/>
    <x v="0"/>
    <x v="0"/>
    <x v="120"/>
    <x v="0"/>
    <x v="119"/>
  </r>
  <r>
    <x v="101"/>
    <x v="100"/>
    <x v="5"/>
    <x v="48"/>
    <x v="136"/>
    <x v="6"/>
    <x v="1"/>
    <x v="135"/>
    <n v="3502.14"/>
    <x v="87"/>
    <x v="25"/>
    <x v="0"/>
    <x v="0"/>
    <x v="0"/>
    <x v="0"/>
    <x v="15"/>
    <x v="121"/>
    <x v="2"/>
    <x v="120"/>
  </r>
  <r>
    <x v="101"/>
    <x v="100"/>
    <x v="2"/>
    <x v="39"/>
    <x v="137"/>
    <x v="7"/>
    <x v="0"/>
    <x v="136"/>
    <n v="15.73"/>
    <x v="88"/>
    <x v="25"/>
    <x v="0"/>
    <x v="0"/>
    <x v="0"/>
    <x v="1"/>
    <x v="16"/>
    <x v="122"/>
    <x v="1"/>
    <x v="120"/>
  </r>
  <r>
    <x v="102"/>
    <x v="66"/>
    <x v="0"/>
    <x v="4"/>
    <x v="138"/>
    <x v="6"/>
    <x v="1"/>
    <x v="137"/>
    <n v="145.97999999999999"/>
    <x v="89"/>
    <x v="25"/>
    <x v="0"/>
    <x v="0"/>
    <x v="0"/>
    <x v="2"/>
    <x v="2"/>
    <x v="123"/>
    <x v="2"/>
    <x v="121"/>
  </r>
  <r>
    <x v="103"/>
    <x v="101"/>
    <x v="2"/>
    <x v="5"/>
    <x v="139"/>
    <x v="1"/>
    <x v="0"/>
    <x v="138"/>
    <n v="7.28"/>
    <x v="8"/>
    <x v="20"/>
    <x v="0"/>
    <x v="0"/>
    <x v="1"/>
    <x v="1"/>
    <x v="5"/>
    <x v="124"/>
    <x v="0"/>
    <x v="122"/>
  </r>
  <r>
    <x v="104"/>
    <x v="102"/>
    <x v="0"/>
    <x v="14"/>
    <x v="140"/>
    <x v="5"/>
    <x v="0"/>
    <x v="139"/>
    <n v="3.69"/>
    <x v="14"/>
    <x v="55"/>
    <x v="0"/>
    <x v="0"/>
    <x v="0"/>
    <x v="1"/>
    <x v="8"/>
    <x v="125"/>
    <x v="0"/>
    <x v="123"/>
  </r>
  <r>
    <x v="105"/>
    <x v="103"/>
    <x v="1"/>
    <x v="31"/>
    <x v="141"/>
    <x v="8"/>
    <x v="0"/>
    <x v="140"/>
    <n v="205.99"/>
    <x v="1"/>
    <x v="43"/>
    <x v="0"/>
    <x v="0"/>
    <x v="0"/>
    <x v="0"/>
    <x v="7"/>
    <x v="126"/>
    <x v="0"/>
    <x v="124"/>
  </r>
  <r>
    <x v="106"/>
    <x v="104"/>
    <x v="4"/>
    <x v="36"/>
    <x v="142"/>
    <x v="8"/>
    <x v="0"/>
    <x v="141"/>
    <n v="200.99"/>
    <x v="90"/>
    <x v="11"/>
    <x v="0"/>
    <x v="0"/>
    <x v="1"/>
    <x v="0"/>
    <x v="7"/>
    <x v="127"/>
    <x v="0"/>
    <x v="0"/>
  </r>
  <r>
    <x v="107"/>
    <x v="105"/>
    <x v="3"/>
    <x v="34"/>
    <x v="143"/>
    <x v="9"/>
    <x v="1"/>
    <x v="142"/>
    <n v="31.76"/>
    <x v="2"/>
    <x v="48"/>
    <x v="0"/>
    <x v="0"/>
    <x v="3"/>
    <x v="2"/>
    <x v="2"/>
    <x v="2"/>
    <x v="2"/>
    <x v="125"/>
  </r>
  <r>
    <x v="108"/>
    <x v="106"/>
    <x v="1"/>
    <x v="44"/>
    <x v="144"/>
    <x v="1"/>
    <x v="1"/>
    <x v="143"/>
    <n v="100.98"/>
    <x v="75"/>
    <x v="56"/>
    <x v="0"/>
    <x v="0"/>
    <x v="0"/>
    <x v="2"/>
    <x v="10"/>
    <x v="104"/>
    <x v="2"/>
    <x v="126"/>
  </r>
  <r>
    <x v="108"/>
    <x v="106"/>
    <x v="1"/>
    <x v="14"/>
    <x v="145"/>
    <x v="5"/>
    <x v="0"/>
    <x v="144"/>
    <n v="40.98"/>
    <x v="91"/>
    <x v="56"/>
    <x v="0"/>
    <x v="0"/>
    <x v="0"/>
    <x v="1"/>
    <x v="13"/>
    <x v="128"/>
    <x v="0"/>
    <x v="126"/>
  </r>
  <r>
    <x v="109"/>
    <x v="107"/>
    <x v="3"/>
    <x v="47"/>
    <x v="146"/>
    <x v="8"/>
    <x v="0"/>
    <x v="145"/>
    <n v="172.99"/>
    <x v="0"/>
    <x v="10"/>
    <x v="0"/>
    <x v="0"/>
    <x v="1"/>
    <x v="1"/>
    <x v="3"/>
    <x v="129"/>
    <x v="0"/>
    <x v="127"/>
  </r>
  <r>
    <x v="110"/>
    <x v="108"/>
    <x v="3"/>
    <x v="6"/>
    <x v="147"/>
    <x v="9"/>
    <x v="0"/>
    <x v="146"/>
    <n v="78.650000000000006"/>
    <x v="24"/>
    <x v="48"/>
    <x v="0"/>
    <x v="0"/>
    <x v="3"/>
    <x v="1"/>
    <x v="13"/>
    <x v="130"/>
    <x v="4"/>
    <x v="128"/>
  </r>
  <r>
    <x v="110"/>
    <x v="108"/>
    <x v="3"/>
    <x v="46"/>
    <x v="148"/>
    <x v="3"/>
    <x v="2"/>
    <x v="147"/>
    <n v="3.75"/>
    <x v="14"/>
    <x v="48"/>
    <x v="0"/>
    <x v="0"/>
    <x v="3"/>
    <x v="1"/>
    <x v="8"/>
    <x v="131"/>
    <x v="0"/>
    <x v="129"/>
  </r>
  <r>
    <x v="111"/>
    <x v="16"/>
    <x v="2"/>
    <x v="26"/>
    <x v="149"/>
    <x v="3"/>
    <x v="1"/>
    <x v="148"/>
    <n v="58.14"/>
    <x v="92"/>
    <x v="56"/>
    <x v="0"/>
    <x v="0"/>
    <x v="0"/>
    <x v="2"/>
    <x v="10"/>
    <x v="132"/>
    <x v="2"/>
    <x v="21"/>
  </r>
  <r>
    <x v="112"/>
    <x v="109"/>
    <x v="3"/>
    <x v="32"/>
    <x v="150"/>
    <x v="2"/>
    <x v="2"/>
    <x v="149"/>
    <n v="3.28"/>
    <x v="93"/>
    <x v="52"/>
    <x v="0"/>
    <x v="0"/>
    <x v="0"/>
    <x v="1"/>
    <x v="1"/>
    <x v="133"/>
    <x v="3"/>
    <x v="130"/>
  </r>
  <r>
    <x v="113"/>
    <x v="110"/>
    <x v="1"/>
    <x v="46"/>
    <x v="151"/>
    <x v="7"/>
    <x v="0"/>
    <x v="150"/>
    <n v="22.98"/>
    <x v="39"/>
    <x v="33"/>
    <x v="0"/>
    <x v="0"/>
    <x v="0"/>
    <x v="1"/>
    <x v="13"/>
    <x v="134"/>
    <x v="0"/>
    <x v="131"/>
  </r>
  <r>
    <x v="114"/>
    <x v="111"/>
    <x v="4"/>
    <x v="5"/>
    <x v="152"/>
    <x v="5"/>
    <x v="0"/>
    <x v="151"/>
    <n v="5.74"/>
    <x v="94"/>
    <x v="57"/>
    <x v="0"/>
    <x v="0"/>
    <x v="0"/>
    <x v="1"/>
    <x v="3"/>
    <x v="135"/>
    <x v="0"/>
    <x v="132"/>
  </r>
  <r>
    <x v="114"/>
    <x v="111"/>
    <x v="4"/>
    <x v="37"/>
    <x v="153"/>
    <x v="7"/>
    <x v="0"/>
    <x v="152"/>
    <n v="4.24"/>
    <x v="95"/>
    <x v="57"/>
    <x v="0"/>
    <x v="0"/>
    <x v="0"/>
    <x v="1"/>
    <x v="3"/>
    <x v="136"/>
    <x v="0"/>
    <x v="132"/>
  </r>
  <r>
    <x v="115"/>
    <x v="112"/>
    <x v="0"/>
    <x v="42"/>
    <x v="154"/>
    <x v="9"/>
    <x v="0"/>
    <x v="153"/>
    <n v="9.27"/>
    <x v="96"/>
    <x v="58"/>
    <x v="0"/>
    <x v="0"/>
    <x v="0"/>
    <x v="1"/>
    <x v="5"/>
    <x v="137"/>
    <x v="3"/>
    <x v="133"/>
  </r>
  <r>
    <x v="116"/>
    <x v="113"/>
    <x v="4"/>
    <x v="29"/>
    <x v="155"/>
    <x v="0"/>
    <x v="0"/>
    <x v="154"/>
    <n v="20.99"/>
    <x v="97"/>
    <x v="59"/>
    <x v="0"/>
    <x v="0"/>
    <x v="0"/>
    <x v="0"/>
    <x v="7"/>
    <x v="138"/>
    <x v="4"/>
    <x v="134"/>
  </r>
  <r>
    <x v="117"/>
    <x v="114"/>
    <x v="1"/>
    <x v="25"/>
    <x v="156"/>
    <x v="10"/>
    <x v="0"/>
    <x v="155"/>
    <n v="28.53"/>
    <x v="6"/>
    <x v="55"/>
    <x v="0"/>
    <x v="0"/>
    <x v="0"/>
    <x v="1"/>
    <x v="3"/>
    <x v="139"/>
    <x v="0"/>
    <x v="135"/>
  </r>
  <r>
    <x v="117"/>
    <x v="114"/>
    <x v="1"/>
    <x v="40"/>
    <x v="157"/>
    <x v="0"/>
    <x v="0"/>
    <x v="156"/>
    <n v="5.98"/>
    <x v="98"/>
    <x v="55"/>
    <x v="0"/>
    <x v="0"/>
    <x v="0"/>
    <x v="1"/>
    <x v="5"/>
    <x v="140"/>
    <x v="0"/>
    <x v="136"/>
  </r>
  <r>
    <x v="118"/>
    <x v="115"/>
    <x v="1"/>
    <x v="10"/>
    <x v="158"/>
    <x v="1"/>
    <x v="2"/>
    <x v="157"/>
    <n v="2.62"/>
    <x v="46"/>
    <x v="30"/>
    <x v="0"/>
    <x v="0"/>
    <x v="1"/>
    <x v="1"/>
    <x v="11"/>
    <x v="61"/>
    <x v="3"/>
    <x v="137"/>
  </r>
  <r>
    <x v="119"/>
    <x v="116"/>
    <x v="4"/>
    <x v="4"/>
    <x v="159"/>
    <x v="4"/>
    <x v="0"/>
    <x v="158"/>
    <n v="5.18"/>
    <x v="99"/>
    <x v="0"/>
    <x v="0"/>
    <x v="0"/>
    <x v="3"/>
    <x v="1"/>
    <x v="5"/>
    <x v="141"/>
    <x v="3"/>
    <x v="138"/>
  </r>
  <r>
    <x v="120"/>
    <x v="117"/>
    <x v="2"/>
    <x v="31"/>
    <x v="160"/>
    <x v="9"/>
    <x v="2"/>
    <x v="159"/>
    <n v="40.98"/>
    <x v="91"/>
    <x v="43"/>
    <x v="0"/>
    <x v="0"/>
    <x v="0"/>
    <x v="1"/>
    <x v="13"/>
    <x v="128"/>
    <x v="0"/>
    <x v="139"/>
  </r>
  <r>
    <x v="120"/>
    <x v="117"/>
    <x v="2"/>
    <x v="40"/>
    <x v="161"/>
    <x v="4"/>
    <x v="0"/>
    <x v="160"/>
    <n v="2.88"/>
    <x v="6"/>
    <x v="43"/>
    <x v="0"/>
    <x v="0"/>
    <x v="0"/>
    <x v="1"/>
    <x v="3"/>
    <x v="142"/>
    <x v="0"/>
    <x v="140"/>
  </r>
  <r>
    <x v="121"/>
    <x v="118"/>
    <x v="0"/>
    <x v="29"/>
    <x v="162"/>
    <x v="5"/>
    <x v="0"/>
    <x v="161"/>
    <n v="8.34"/>
    <x v="47"/>
    <x v="33"/>
    <x v="0"/>
    <x v="0"/>
    <x v="0"/>
    <x v="2"/>
    <x v="9"/>
    <x v="143"/>
    <x v="3"/>
    <x v="141"/>
  </r>
  <r>
    <x v="121"/>
    <x v="118"/>
    <x v="0"/>
    <x v="14"/>
    <x v="163"/>
    <x v="5"/>
    <x v="0"/>
    <x v="162"/>
    <n v="110.99"/>
    <x v="1"/>
    <x v="33"/>
    <x v="0"/>
    <x v="0"/>
    <x v="0"/>
    <x v="0"/>
    <x v="7"/>
    <x v="144"/>
    <x v="0"/>
    <x v="142"/>
  </r>
  <r>
    <x v="122"/>
    <x v="119"/>
    <x v="3"/>
    <x v="15"/>
    <x v="164"/>
    <x v="10"/>
    <x v="1"/>
    <x v="163"/>
    <n v="145.44999999999999"/>
    <x v="100"/>
    <x v="51"/>
    <x v="0"/>
    <x v="0"/>
    <x v="0"/>
    <x v="0"/>
    <x v="15"/>
    <x v="145"/>
    <x v="6"/>
    <x v="143"/>
  </r>
  <r>
    <x v="122"/>
    <x v="119"/>
    <x v="3"/>
    <x v="31"/>
    <x v="165"/>
    <x v="9"/>
    <x v="0"/>
    <x v="164"/>
    <n v="48.04"/>
    <x v="101"/>
    <x v="51"/>
    <x v="0"/>
    <x v="0"/>
    <x v="0"/>
    <x v="1"/>
    <x v="5"/>
    <x v="146"/>
    <x v="0"/>
    <x v="144"/>
  </r>
  <r>
    <x v="123"/>
    <x v="120"/>
    <x v="2"/>
    <x v="14"/>
    <x v="166"/>
    <x v="9"/>
    <x v="0"/>
    <x v="165"/>
    <n v="6.24"/>
    <x v="102"/>
    <x v="36"/>
    <x v="0"/>
    <x v="0"/>
    <x v="3"/>
    <x v="2"/>
    <x v="9"/>
    <x v="147"/>
    <x v="0"/>
    <x v="145"/>
  </r>
  <r>
    <x v="124"/>
    <x v="121"/>
    <x v="1"/>
    <x v="27"/>
    <x v="167"/>
    <x v="1"/>
    <x v="1"/>
    <x v="166"/>
    <n v="200.97"/>
    <x v="103"/>
    <x v="60"/>
    <x v="0"/>
    <x v="0"/>
    <x v="3"/>
    <x v="0"/>
    <x v="15"/>
    <x v="148"/>
    <x v="6"/>
    <x v="146"/>
  </r>
  <r>
    <x v="125"/>
    <x v="122"/>
    <x v="3"/>
    <x v="35"/>
    <x v="168"/>
    <x v="7"/>
    <x v="0"/>
    <x v="167"/>
    <n v="85.99"/>
    <x v="22"/>
    <x v="61"/>
    <x v="0"/>
    <x v="0"/>
    <x v="2"/>
    <x v="0"/>
    <x v="7"/>
    <x v="149"/>
    <x v="3"/>
    <x v="147"/>
  </r>
  <r>
    <x v="126"/>
    <x v="123"/>
    <x v="1"/>
    <x v="23"/>
    <x v="169"/>
    <x v="2"/>
    <x v="0"/>
    <x v="168"/>
    <n v="6.48"/>
    <x v="104"/>
    <x v="45"/>
    <x v="0"/>
    <x v="0"/>
    <x v="0"/>
    <x v="0"/>
    <x v="0"/>
    <x v="150"/>
    <x v="1"/>
    <x v="148"/>
  </r>
  <r>
    <x v="126"/>
    <x v="123"/>
    <x v="1"/>
    <x v="37"/>
    <x v="170"/>
    <x v="0"/>
    <x v="0"/>
    <x v="169"/>
    <n v="111.96"/>
    <x v="105"/>
    <x v="45"/>
    <x v="0"/>
    <x v="0"/>
    <x v="0"/>
    <x v="2"/>
    <x v="2"/>
    <x v="151"/>
    <x v="5"/>
    <x v="149"/>
  </r>
  <r>
    <x v="127"/>
    <x v="124"/>
    <x v="0"/>
    <x v="1"/>
    <x v="171"/>
    <x v="7"/>
    <x v="0"/>
    <x v="170"/>
    <n v="40.97"/>
    <x v="1"/>
    <x v="3"/>
    <x v="0"/>
    <x v="0"/>
    <x v="1"/>
    <x v="1"/>
    <x v="1"/>
    <x v="36"/>
    <x v="1"/>
    <x v="150"/>
  </r>
  <r>
    <x v="127"/>
    <x v="124"/>
    <x v="0"/>
    <x v="8"/>
    <x v="172"/>
    <x v="7"/>
    <x v="0"/>
    <x v="171"/>
    <n v="101.41"/>
    <x v="66"/>
    <x v="3"/>
    <x v="0"/>
    <x v="0"/>
    <x v="1"/>
    <x v="1"/>
    <x v="6"/>
    <x v="90"/>
    <x v="5"/>
    <x v="151"/>
  </r>
  <r>
    <x v="127"/>
    <x v="124"/>
    <x v="0"/>
    <x v="49"/>
    <x v="173"/>
    <x v="6"/>
    <x v="0"/>
    <x v="172"/>
    <n v="55.99"/>
    <x v="106"/>
    <x v="3"/>
    <x v="0"/>
    <x v="0"/>
    <x v="1"/>
    <x v="0"/>
    <x v="7"/>
    <x v="152"/>
    <x v="1"/>
    <x v="151"/>
  </r>
  <r>
    <x v="128"/>
    <x v="125"/>
    <x v="2"/>
    <x v="28"/>
    <x v="174"/>
    <x v="10"/>
    <x v="0"/>
    <x v="173"/>
    <n v="6.37"/>
    <x v="107"/>
    <x v="51"/>
    <x v="0"/>
    <x v="0"/>
    <x v="0"/>
    <x v="1"/>
    <x v="3"/>
    <x v="153"/>
    <x v="0"/>
    <x v="152"/>
  </r>
  <r>
    <x v="129"/>
    <x v="126"/>
    <x v="0"/>
    <x v="12"/>
    <x v="175"/>
    <x v="9"/>
    <x v="1"/>
    <x v="174"/>
    <n v="119.99"/>
    <x v="59"/>
    <x v="62"/>
    <x v="0"/>
    <x v="0"/>
    <x v="0"/>
    <x v="0"/>
    <x v="15"/>
    <x v="154"/>
    <x v="2"/>
    <x v="153"/>
  </r>
  <r>
    <x v="130"/>
    <x v="127"/>
    <x v="3"/>
    <x v="41"/>
    <x v="176"/>
    <x v="1"/>
    <x v="0"/>
    <x v="175"/>
    <n v="22.01"/>
    <x v="108"/>
    <x v="63"/>
    <x v="0"/>
    <x v="0"/>
    <x v="0"/>
    <x v="1"/>
    <x v="1"/>
    <x v="155"/>
    <x v="1"/>
    <x v="154"/>
  </r>
  <r>
    <x v="131"/>
    <x v="128"/>
    <x v="0"/>
    <x v="9"/>
    <x v="177"/>
    <x v="1"/>
    <x v="0"/>
    <x v="176"/>
    <n v="599.99"/>
    <x v="37"/>
    <x v="64"/>
    <x v="0"/>
    <x v="0"/>
    <x v="0"/>
    <x v="0"/>
    <x v="12"/>
    <x v="156"/>
    <x v="5"/>
    <x v="155"/>
  </r>
  <r>
    <x v="131"/>
    <x v="128"/>
    <x v="0"/>
    <x v="18"/>
    <x v="178"/>
    <x v="1"/>
    <x v="0"/>
    <x v="177"/>
    <n v="65.989999999999995"/>
    <x v="1"/>
    <x v="64"/>
    <x v="0"/>
    <x v="0"/>
    <x v="0"/>
    <x v="0"/>
    <x v="7"/>
    <x v="157"/>
    <x v="0"/>
    <x v="156"/>
  </r>
  <r>
    <x v="132"/>
    <x v="53"/>
    <x v="3"/>
    <x v="24"/>
    <x v="179"/>
    <x v="10"/>
    <x v="0"/>
    <x v="178"/>
    <n v="10.48"/>
    <x v="109"/>
    <x v="30"/>
    <x v="0"/>
    <x v="0"/>
    <x v="1"/>
    <x v="1"/>
    <x v="1"/>
    <x v="158"/>
    <x v="1"/>
    <x v="157"/>
  </r>
  <r>
    <x v="133"/>
    <x v="129"/>
    <x v="4"/>
    <x v="21"/>
    <x v="180"/>
    <x v="0"/>
    <x v="0"/>
    <x v="179"/>
    <n v="34.76"/>
    <x v="110"/>
    <x v="60"/>
    <x v="0"/>
    <x v="0"/>
    <x v="3"/>
    <x v="1"/>
    <x v="6"/>
    <x v="159"/>
    <x v="0"/>
    <x v="158"/>
  </r>
  <r>
    <x v="133"/>
    <x v="129"/>
    <x v="4"/>
    <x v="21"/>
    <x v="181"/>
    <x v="10"/>
    <x v="1"/>
    <x v="180"/>
    <n v="15.23"/>
    <x v="111"/>
    <x v="60"/>
    <x v="0"/>
    <x v="0"/>
    <x v="3"/>
    <x v="2"/>
    <x v="2"/>
    <x v="160"/>
    <x v="2"/>
    <x v="159"/>
  </r>
  <r>
    <x v="134"/>
    <x v="130"/>
    <x v="3"/>
    <x v="12"/>
    <x v="182"/>
    <x v="0"/>
    <x v="0"/>
    <x v="181"/>
    <n v="12.28"/>
    <x v="112"/>
    <x v="30"/>
    <x v="0"/>
    <x v="0"/>
    <x v="1"/>
    <x v="1"/>
    <x v="6"/>
    <x v="161"/>
    <x v="0"/>
    <x v="160"/>
  </r>
  <r>
    <x v="135"/>
    <x v="131"/>
    <x v="0"/>
    <x v="31"/>
    <x v="183"/>
    <x v="8"/>
    <x v="0"/>
    <x v="182"/>
    <n v="81.319999999999993"/>
    <x v="22"/>
    <x v="64"/>
    <x v="0"/>
    <x v="0"/>
    <x v="0"/>
    <x v="1"/>
    <x v="13"/>
    <x v="162"/>
    <x v="0"/>
    <x v="161"/>
  </r>
  <r>
    <x v="136"/>
    <x v="132"/>
    <x v="1"/>
    <x v="16"/>
    <x v="184"/>
    <x v="3"/>
    <x v="2"/>
    <x v="183"/>
    <n v="39.979999999999997"/>
    <x v="113"/>
    <x v="65"/>
    <x v="0"/>
    <x v="0"/>
    <x v="2"/>
    <x v="2"/>
    <x v="9"/>
    <x v="163"/>
    <x v="3"/>
    <x v="119"/>
  </r>
  <r>
    <x v="137"/>
    <x v="133"/>
    <x v="3"/>
    <x v="3"/>
    <x v="185"/>
    <x v="4"/>
    <x v="1"/>
    <x v="184"/>
    <n v="150.97999999999999"/>
    <x v="114"/>
    <x v="2"/>
    <x v="0"/>
    <x v="0"/>
    <x v="1"/>
    <x v="2"/>
    <x v="10"/>
    <x v="164"/>
    <x v="2"/>
    <x v="162"/>
  </r>
  <r>
    <x v="138"/>
    <x v="134"/>
    <x v="2"/>
    <x v="19"/>
    <x v="186"/>
    <x v="6"/>
    <x v="2"/>
    <x v="185"/>
    <n v="30.98"/>
    <x v="115"/>
    <x v="43"/>
    <x v="0"/>
    <x v="0"/>
    <x v="0"/>
    <x v="0"/>
    <x v="0"/>
    <x v="165"/>
    <x v="0"/>
    <x v="163"/>
  </r>
  <r>
    <x v="138"/>
    <x v="134"/>
    <x v="2"/>
    <x v="10"/>
    <x v="187"/>
    <x v="3"/>
    <x v="0"/>
    <x v="186"/>
    <n v="4.13"/>
    <x v="116"/>
    <x v="43"/>
    <x v="0"/>
    <x v="0"/>
    <x v="0"/>
    <x v="1"/>
    <x v="1"/>
    <x v="166"/>
    <x v="3"/>
    <x v="164"/>
  </r>
  <r>
    <x v="139"/>
    <x v="135"/>
    <x v="0"/>
    <x v="36"/>
    <x v="188"/>
    <x v="10"/>
    <x v="1"/>
    <x v="187"/>
    <n v="300.98"/>
    <x v="117"/>
    <x v="66"/>
    <x v="0"/>
    <x v="0"/>
    <x v="0"/>
    <x v="2"/>
    <x v="10"/>
    <x v="167"/>
    <x v="2"/>
    <x v="165"/>
  </r>
  <r>
    <x v="139"/>
    <x v="135"/>
    <x v="0"/>
    <x v="30"/>
    <x v="189"/>
    <x v="9"/>
    <x v="1"/>
    <x v="188"/>
    <n v="2550.14"/>
    <x v="118"/>
    <x v="66"/>
    <x v="0"/>
    <x v="0"/>
    <x v="0"/>
    <x v="0"/>
    <x v="15"/>
    <x v="168"/>
    <x v="6"/>
    <x v="165"/>
  </r>
  <r>
    <x v="140"/>
    <x v="136"/>
    <x v="0"/>
    <x v="13"/>
    <x v="190"/>
    <x v="9"/>
    <x v="1"/>
    <x v="189"/>
    <n v="500.98"/>
    <x v="119"/>
    <x v="54"/>
    <x v="0"/>
    <x v="0"/>
    <x v="3"/>
    <x v="2"/>
    <x v="14"/>
    <x v="169"/>
    <x v="6"/>
    <x v="166"/>
  </r>
  <r>
    <x v="141"/>
    <x v="137"/>
    <x v="1"/>
    <x v="36"/>
    <x v="191"/>
    <x v="5"/>
    <x v="0"/>
    <x v="190"/>
    <n v="40.98"/>
    <x v="115"/>
    <x v="3"/>
    <x v="0"/>
    <x v="0"/>
    <x v="1"/>
    <x v="0"/>
    <x v="0"/>
    <x v="170"/>
    <x v="0"/>
    <x v="167"/>
  </r>
  <r>
    <x v="142"/>
    <x v="138"/>
    <x v="2"/>
    <x v="9"/>
    <x v="192"/>
    <x v="5"/>
    <x v="2"/>
    <x v="191"/>
    <n v="22.98"/>
    <x v="39"/>
    <x v="55"/>
    <x v="0"/>
    <x v="0"/>
    <x v="0"/>
    <x v="1"/>
    <x v="13"/>
    <x v="134"/>
    <x v="0"/>
    <x v="168"/>
  </r>
  <r>
    <x v="143"/>
    <x v="139"/>
    <x v="3"/>
    <x v="47"/>
    <x v="193"/>
    <x v="2"/>
    <x v="0"/>
    <x v="192"/>
    <n v="56.96"/>
    <x v="120"/>
    <x v="67"/>
    <x v="0"/>
    <x v="0"/>
    <x v="0"/>
    <x v="1"/>
    <x v="13"/>
    <x v="171"/>
    <x v="0"/>
    <x v="169"/>
  </r>
  <r>
    <x v="143"/>
    <x v="139"/>
    <x v="3"/>
    <x v="1"/>
    <x v="194"/>
    <x v="1"/>
    <x v="1"/>
    <x v="193"/>
    <n v="442.14"/>
    <x v="121"/>
    <x v="67"/>
    <x v="0"/>
    <x v="0"/>
    <x v="0"/>
    <x v="0"/>
    <x v="15"/>
    <x v="172"/>
    <x v="6"/>
    <x v="169"/>
  </r>
  <r>
    <x v="144"/>
    <x v="140"/>
    <x v="1"/>
    <x v="43"/>
    <x v="195"/>
    <x v="10"/>
    <x v="1"/>
    <x v="194"/>
    <n v="44.43"/>
    <x v="122"/>
    <x v="19"/>
    <x v="0"/>
    <x v="0"/>
    <x v="3"/>
    <x v="2"/>
    <x v="2"/>
    <x v="173"/>
    <x v="2"/>
    <x v="170"/>
  </r>
  <r>
    <x v="145"/>
    <x v="141"/>
    <x v="0"/>
    <x v="26"/>
    <x v="196"/>
    <x v="0"/>
    <x v="0"/>
    <x v="195"/>
    <n v="205.99"/>
    <x v="29"/>
    <x v="6"/>
    <x v="0"/>
    <x v="0"/>
    <x v="0"/>
    <x v="0"/>
    <x v="7"/>
    <x v="174"/>
    <x v="0"/>
    <x v="48"/>
  </r>
  <r>
    <x v="146"/>
    <x v="142"/>
    <x v="1"/>
    <x v="15"/>
    <x v="197"/>
    <x v="0"/>
    <x v="0"/>
    <x v="196"/>
    <n v="6.48"/>
    <x v="123"/>
    <x v="30"/>
    <x v="0"/>
    <x v="0"/>
    <x v="1"/>
    <x v="1"/>
    <x v="5"/>
    <x v="175"/>
    <x v="0"/>
    <x v="171"/>
  </r>
  <r>
    <x v="147"/>
    <x v="143"/>
    <x v="1"/>
    <x v="42"/>
    <x v="198"/>
    <x v="1"/>
    <x v="0"/>
    <x v="197"/>
    <n v="8.67"/>
    <x v="124"/>
    <x v="68"/>
    <x v="0"/>
    <x v="0"/>
    <x v="1"/>
    <x v="1"/>
    <x v="13"/>
    <x v="176"/>
    <x v="0"/>
    <x v="172"/>
  </r>
  <r>
    <x v="148"/>
    <x v="144"/>
    <x v="0"/>
    <x v="14"/>
    <x v="199"/>
    <x v="7"/>
    <x v="0"/>
    <x v="198"/>
    <n v="1.1399999999999999"/>
    <x v="16"/>
    <x v="65"/>
    <x v="0"/>
    <x v="0"/>
    <x v="2"/>
    <x v="1"/>
    <x v="11"/>
    <x v="177"/>
    <x v="3"/>
    <x v="173"/>
  </r>
  <r>
    <x v="149"/>
    <x v="113"/>
    <x v="0"/>
    <x v="47"/>
    <x v="200"/>
    <x v="8"/>
    <x v="1"/>
    <x v="199"/>
    <n v="95.98"/>
    <x v="125"/>
    <x v="69"/>
    <x v="0"/>
    <x v="0"/>
    <x v="0"/>
    <x v="2"/>
    <x v="14"/>
    <x v="178"/>
    <x v="6"/>
    <x v="174"/>
  </r>
  <r>
    <x v="150"/>
    <x v="145"/>
    <x v="2"/>
    <x v="27"/>
    <x v="201"/>
    <x v="2"/>
    <x v="0"/>
    <x v="200"/>
    <n v="15.57"/>
    <x v="126"/>
    <x v="11"/>
    <x v="0"/>
    <x v="0"/>
    <x v="1"/>
    <x v="1"/>
    <x v="4"/>
    <x v="179"/>
    <x v="0"/>
    <x v="175"/>
  </r>
  <r>
    <x v="151"/>
    <x v="146"/>
    <x v="3"/>
    <x v="38"/>
    <x v="202"/>
    <x v="6"/>
    <x v="0"/>
    <x v="201"/>
    <n v="2.88"/>
    <x v="14"/>
    <x v="15"/>
    <x v="0"/>
    <x v="0"/>
    <x v="2"/>
    <x v="1"/>
    <x v="8"/>
    <x v="180"/>
    <x v="0"/>
    <x v="176"/>
  </r>
  <r>
    <x v="152"/>
    <x v="147"/>
    <x v="0"/>
    <x v="44"/>
    <x v="203"/>
    <x v="2"/>
    <x v="0"/>
    <x v="202"/>
    <n v="16.48"/>
    <x v="10"/>
    <x v="21"/>
    <x v="0"/>
    <x v="0"/>
    <x v="3"/>
    <x v="0"/>
    <x v="0"/>
    <x v="181"/>
    <x v="1"/>
    <x v="177"/>
  </r>
  <r>
    <x v="153"/>
    <x v="148"/>
    <x v="0"/>
    <x v="11"/>
    <x v="204"/>
    <x v="6"/>
    <x v="0"/>
    <x v="203"/>
    <n v="2.98"/>
    <x v="127"/>
    <x v="23"/>
    <x v="0"/>
    <x v="0"/>
    <x v="2"/>
    <x v="1"/>
    <x v="11"/>
    <x v="182"/>
    <x v="3"/>
    <x v="178"/>
  </r>
  <r>
    <x v="153"/>
    <x v="148"/>
    <x v="0"/>
    <x v="47"/>
    <x v="205"/>
    <x v="9"/>
    <x v="2"/>
    <x v="204"/>
    <n v="32.979999999999997"/>
    <x v="128"/>
    <x v="23"/>
    <x v="0"/>
    <x v="0"/>
    <x v="2"/>
    <x v="0"/>
    <x v="0"/>
    <x v="183"/>
    <x v="0"/>
    <x v="179"/>
  </r>
  <r>
    <x v="154"/>
    <x v="149"/>
    <x v="3"/>
    <x v="29"/>
    <x v="206"/>
    <x v="10"/>
    <x v="0"/>
    <x v="205"/>
    <n v="2.94"/>
    <x v="47"/>
    <x v="41"/>
    <x v="0"/>
    <x v="0"/>
    <x v="3"/>
    <x v="1"/>
    <x v="1"/>
    <x v="63"/>
    <x v="3"/>
    <x v="180"/>
  </r>
  <r>
    <x v="155"/>
    <x v="150"/>
    <x v="1"/>
    <x v="11"/>
    <x v="207"/>
    <x v="5"/>
    <x v="0"/>
    <x v="206"/>
    <n v="34.76"/>
    <x v="129"/>
    <x v="70"/>
    <x v="0"/>
    <x v="0"/>
    <x v="1"/>
    <x v="1"/>
    <x v="6"/>
    <x v="184"/>
    <x v="0"/>
    <x v="181"/>
  </r>
  <r>
    <x v="156"/>
    <x v="151"/>
    <x v="2"/>
    <x v="20"/>
    <x v="208"/>
    <x v="10"/>
    <x v="0"/>
    <x v="207"/>
    <n v="113.64"/>
    <x v="66"/>
    <x v="71"/>
    <x v="0"/>
    <x v="0"/>
    <x v="3"/>
    <x v="2"/>
    <x v="9"/>
    <x v="147"/>
    <x v="0"/>
    <x v="182"/>
  </r>
  <r>
    <x v="157"/>
    <x v="152"/>
    <x v="2"/>
    <x v="37"/>
    <x v="209"/>
    <x v="3"/>
    <x v="0"/>
    <x v="208"/>
    <n v="3.74"/>
    <x v="130"/>
    <x v="21"/>
    <x v="0"/>
    <x v="0"/>
    <x v="3"/>
    <x v="1"/>
    <x v="3"/>
    <x v="185"/>
    <x v="0"/>
    <x v="183"/>
  </r>
  <r>
    <x v="158"/>
    <x v="153"/>
    <x v="4"/>
    <x v="21"/>
    <x v="210"/>
    <x v="9"/>
    <x v="0"/>
    <x v="209"/>
    <n v="16.98"/>
    <x v="131"/>
    <x v="71"/>
    <x v="0"/>
    <x v="0"/>
    <x v="2"/>
    <x v="2"/>
    <x v="9"/>
    <x v="83"/>
    <x v="5"/>
    <x v="184"/>
  </r>
  <r>
    <x v="159"/>
    <x v="154"/>
    <x v="3"/>
    <x v="13"/>
    <x v="211"/>
    <x v="0"/>
    <x v="0"/>
    <x v="210"/>
    <n v="13.4"/>
    <x v="41"/>
    <x v="72"/>
    <x v="0"/>
    <x v="0"/>
    <x v="0"/>
    <x v="2"/>
    <x v="9"/>
    <x v="186"/>
    <x v="1"/>
    <x v="185"/>
  </r>
  <r>
    <x v="160"/>
    <x v="155"/>
    <x v="0"/>
    <x v="48"/>
    <x v="212"/>
    <x v="2"/>
    <x v="2"/>
    <x v="211"/>
    <n v="2.88"/>
    <x v="16"/>
    <x v="30"/>
    <x v="0"/>
    <x v="0"/>
    <x v="2"/>
    <x v="1"/>
    <x v="1"/>
    <x v="21"/>
    <x v="3"/>
    <x v="186"/>
  </r>
  <r>
    <x v="161"/>
    <x v="156"/>
    <x v="3"/>
    <x v="8"/>
    <x v="213"/>
    <x v="10"/>
    <x v="1"/>
    <x v="212"/>
    <n v="284.98"/>
    <x v="132"/>
    <x v="59"/>
    <x v="0"/>
    <x v="0"/>
    <x v="0"/>
    <x v="2"/>
    <x v="14"/>
    <x v="187"/>
    <x v="6"/>
    <x v="187"/>
  </r>
  <r>
    <x v="161"/>
    <x v="156"/>
    <x v="3"/>
    <x v="15"/>
    <x v="214"/>
    <x v="2"/>
    <x v="0"/>
    <x v="213"/>
    <n v="12.99"/>
    <x v="133"/>
    <x v="59"/>
    <x v="0"/>
    <x v="0"/>
    <x v="0"/>
    <x v="2"/>
    <x v="9"/>
    <x v="188"/>
    <x v="5"/>
    <x v="188"/>
  </r>
  <r>
    <x v="162"/>
    <x v="152"/>
    <x v="3"/>
    <x v="13"/>
    <x v="215"/>
    <x v="3"/>
    <x v="0"/>
    <x v="214"/>
    <n v="11.09"/>
    <x v="134"/>
    <x v="59"/>
    <x v="0"/>
    <x v="0"/>
    <x v="0"/>
    <x v="1"/>
    <x v="4"/>
    <x v="189"/>
    <x v="0"/>
    <x v="189"/>
  </r>
  <r>
    <x v="162"/>
    <x v="152"/>
    <x v="3"/>
    <x v="23"/>
    <x v="216"/>
    <x v="1"/>
    <x v="2"/>
    <x v="215"/>
    <n v="120.97"/>
    <x v="135"/>
    <x v="59"/>
    <x v="0"/>
    <x v="0"/>
    <x v="0"/>
    <x v="0"/>
    <x v="15"/>
    <x v="190"/>
    <x v="4"/>
    <x v="190"/>
  </r>
  <r>
    <x v="163"/>
    <x v="157"/>
    <x v="0"/>
    <x v="29"/>
    <x v="217"/>
    <x v="9"/>
    <x v="0"/>
    <x v="216"/>
    <n v="20.28"/>
    <x v="136"/>
    <x v="33"/>
    <x v="0"/>
    <x v="0"/>
    <x v="0"/>
    <x v="2"/>
    <x v="9"/>
    <x v="191"/>
    <x v="0"/>
    <x v="191"/>
  </r>
  <r>
    <x v="163"/>
    <x v="157"/>
    <x v="0"/>
    <x v="13"/>
    <x v="218"/>
    <x v="2"/>
    <x v="0"/>
    <x v="217"/>
    <n v="65.989999999999995"/>
    <x v="137"/>
    <x v="33"/>
    <x v="0"/>
    <x v="0"/>
    <x v="0"/>
    <x v="0"/>
    <x v="7"/>
    <x v="192"/>
    <x v="0"/>
    <x v="192"/>
  </r>
  <r>
    <x v="164"/>
    <x v="158"/>
    <x v="1"/>
    <x v="5"/>
    <x v="219"/>
    <x v="6"/>
    <x v="1"/>
    <x v="218"/>
    <n v="2036.48"/>
    <x v="121"/>
    <x v="73"/>
    <x v="0"/>
    <x v="0"/>
    <x v="2"/>
    <x v="0"/>
    <x v="15"/>
    <x v="193"/>
    <x v="6"/>
    <x v="193"/>
  </r>
  <r>
    <x v="165"/>
    <x v="159"/>
    <x v="3"/>
    <x v="33"/>
    <x v="220"/>
    <x v="8"/>
    <x v="0"/>
    <x v="219"/>
    <n v="50.98"/>
    <x v="138"/>
    <x v="26"/>
    <x v="0"/>
    <x v="0"/>
    <x v="0"/>
    <x v="2"/>
    <x v="9"/>
    <x v="194"/>
    <x v="5"/>
    <x v="194"/>
  </r>
  <r>
    <x v="166"/>
    <x v="160"/>
    <x v="1"/>
    <x v="22"/>
    <x v="221"/>
    <x v="4"/>
    <x v="0"/>
    <x v="220"/>
    <n v="11.09"/>
    <x v="134"/>
    <x v="59"/>
    <x v="0"/>
    <x v="0"/>
    <x v="0"/>
    <x v="1"/>
    <x v="4"/>
    <x v="189"/>
    <x v="0"/>
    <x v="195"/>
  </r>
  <r>
    <x v="166"/>
    <x v="160"/>
    <x v="1"/>
    <x v="12"/>
    <x v="222"/>
    <x v="7"/>
    <x v="0"/>
    <x v="221"/>
    <n v="13.79"/>
    <x v="139"/>
    <x v="59"/>
    <x v="0"/>
    <x v="0"/>
    <x v="0"/>
    <x v="2"/>
    <x v="9"/>
    <x v="195"/>
    <x v="0"/>
    <x v="196"/>
  </r>
  <r>
    <x v="167"/>
    <x v="161"/>
    <x v="1"/>
    <x v="44"/>
    <x v="223"/>
    <x v="10"/>
    <x v="0"/>
    <x v="222"/>
    <n v="7.3"/>
    <x v="140"/>
    <x v="68"/>
    <x v="0"/>
    <x v="0"/>
    <x v="1"/>
    <x v="1"/>
    <x v="3"/>
    <x v="196"/>
    <x v="0"/>
    <x v="197"/>
  </r>
  <r>
    <x v="168"/>
    <x v="162"/>
    <x v="1"/>
    <x v="0"/>
    <x v="224"/>
    <x v="7"/>
    <x v="0"/>
    <x v="223"/>
    <n v="21.38"/>
    <x v="1"/>
    <x v="6"/>
    <x v="0"/>
    <x v="0"/>
    <x v="0"/>
    <x v="1"/>
    <x v="1"/>
    <x v="197"/>
    <x v="1"/>
    <x v="198"/>
  </r>
  <r>
    <x v="169"/>
    <x v="163"/>
    <x v="3"/>
    <x v="15"/>
    <x v="225"/>
    <x v="1"/>
    <x v="0"/>
    <x v="224"/>
    <n v="10.89"/>
    <x v="39"/>
    <x v="33"/>
    <x v="0"/>
    <x v="0"/>
    <x v="0"/>
    <x v="1"/>
    <x v="13"/>
    <x v="54"/>
    <x v="0"/>
    <x v="199"/>
  </r>
  <r>
    <x v="169"/>
    <x v="163"/>
    <x v="3"/>
    <x v="22"/>
    <x v="226"/>
    <x v="5"/>
    <x v="0"/>
    <x v="225"/>
    <n v="42.98"/>
    <x v="141"/>
    <x v="33"/>
    <x v="0"/>
    <x v="0"/>
    <x v="0"/>
    <x v="1"/>
    <x v="13"/>
    <x v="198"/>
    <x v="0"/>
    <x v="200"/>
  </r>
  <r>
    <x v="170"/>
    <x v="164"/>
    <x v="1"/>
    <x v="48"/>
    <x v="227"/>
    <x v="7"/>
    <x v="0"/>
    <x v="226"/>
    <n v="55.48"/>
    <x v="63"/>
    <x v="6"/>
    <x v="0"/>
    <x v="0"/>
    <x v="0"/>
    <x v="1"/>
    <x v="5"/>
    <x v="87"/>
    <x v="0"/>
    <x v="201"/>
  </r>
  <r>
    <x v="170"/>
    <x v="164"/>
    <x v="1"/>
    <x v="15"/>
    <x v="228"/>
    <x v="9"/>
    <x v="0"/>
    <x v="227"/>
    <n v="1.68"/>
    <x v="142"/>
    <x v="6"/>
    <x v="0"/>
    <x v="0"/>
    <x v="0"/>
    <x v="1"/>
    <x v="1"/>
    <x v="199"/>
    <x v="3"/>
    <x v="202"/>
  </r>
  <r>
    <x v="171"/>
    <x v="165"/>
    <x v="1"/>
    <x v="15"/>
    <x v="229"/>
    <x v="0"/>
    <x v="1"/>
    <x v="228"/>
    <n v="810.98"/>
    <x v="143"/>
    <x v="60"/>
    <x v="0"/>
    <x v="0"/>
    <x v="3"/>
    <x v="0"/>
    <x v="15"/>
    <x v="200"/>
    <x v="6"/>
    <x v="203"/>
  </r>
  <r>
    <x v="172"/>
    <x v="166"/>
    <x v="1"/>
    <x v="49"/>
    <x v="230"/>
    <x v="3"/>
    <x v="0"/>
    <x v="229"/>
    <n v="3.98"/>
    <x v="76"/>
    <x v="74"/>
    <x v="0"/>
    <x v="0"/>
    <x v="2"/>
    <x v="1"/>
    <x v="3"/>
    <x v="201"/>
    <x v="0"/>
    <x v="204"/>
  </r>
  <r>
    <x v="172"/>
    <x v="166"/>
    <x v="1"/>
    <x v="4"/>
    <x v="231"/>
    <x v="0"/>
    <x v="0"/>
    <x v="230"/>
    <n v="4.7300000000000004"/>
    <x v="144"/>
    <x v="74"/>
    <x v="0"/>
    <x v="0"/>
    <x v="2"/>
    <x v="1"/>
    <x v="5"/>
    <x v="202"/>
    <x v="3"/>
    <x v="205"/>
  </r>
  <r>
    <x v="173"/>
    <x v="42"/>
    <x v="1"/>
    <x v="22"/>
    <x v="232"/>
    <x v="5"/>
    <x v="2"/>
    <x v="231"/>
    <n v="1.68"/>
    <x v="142"/>
    <x v="35"/>
    <x v="0"/>
    <x v="0"/>
    <x v="3"/>
    <x v="1"/>
    <x v="1"/>
    <x v="199"/>
    <x v="3"/>
    <x v="52"/>
  </r>
  <r>
    <x v="174"/>
    <x v="167"/>
    <x v="0"/>
    <x v="0"/>
    <x v="233"/>
    <x v="4"/>
    <x v="0"/>
    <x v="232"/>
    <n v="2.88"/>
    <x v="14"/>
    <x v="75"/>
    <x v="0"/>
    <x v="0"/>
    <x v="0"/>
    <x v="1"/>
    <x v="8"/>
    <x v="180"/>
    <x v="0"/>
    <x v="206"/>
  </r>
  <r>
    <x v="175"/>
    <x v="168"/>
    <x v="0"/>
    <x v="29"/>
    <x v="234"/>
    <x v="4"/>
    <x v="1"/>
    <x v="233"/>
    <n v="124.49"/>
    <x v="145"/>
    <x v="41"/>
    <x v="0"/>
    <x v="0"/>
    <x v="3"/>
    <x v="2"/>
    <x v="2"/>
    <x v="203"/>
    <x v="2"/>
    <x v="207"/>
  </r>
  <r>
    <x v="176"/>
    <x v="169"/>
    <x v="2"/>
    <x v="12"/>
    <x v="235"/>
    <x v="10"/>
    <x v="0"/>
    <x v="234"/>
    <n v="167.27"/>
    <x v="66"/>
    <x v="72"/>
    <x v="0"/>
    <x v="0"/>
    <x v="0"/>
    <x v="1"/>
    <x v="6"/>
    <x v="204"/>
    <x v="5"/>
    <x v="208"/>
  </r>
  <r>
    <x v="177"/>
    <x v="170"/>
    <x v="2"/>
    <x v="39"/>
    <x v="24"/>
    <x v="0"/>
    <x v="0"/>
    <x v="235"/>
    <n v="10.23"/>
    <x v="146"/>
    <x v="76"/>
    <x v="0"/>
    <x v="0"/>
    <x v="0"/>
    <x v="1"/>
    <x v="16"/>
    <x v="205"/>
    <x v="1"/>
    <x v="127"/>
  </r>
  <r>
    <x v="178"/>
    <x v="171"/>
    <x v="0"/>
    <x v="34"/>
    <x v="236"/>
    <x v="0"/>
    <x v="1"/>
    <x v="236"/>
    <n v="130.97999999999999"/>
    <x v="147"/>
    <x v="15"/>
    <x v="0"/>
    <x v="0"/>
    <x v="2"/>
    <x v="2"/>
    <x v="14"/>
    <x v="206"/>
    <x v="6"/>
    <x v="209"/>
  </r>
  <r>
    <x v="178"/>
    <x v="171"/>
    <x v="0"/>
    <x v="33"/>
    <x v="237"/>
    <x v="3"/>
    <x v="0"/>
    <x v="237"/>
    <n v="55.98"/>
    <x v="148"/>
    <x v="15"/>
    <x v="0"/>
    <x v="0"/>
    <x v="2"/>
    <x v="1"/>
    <x v="5"/>
    <x v="207"/>
    <x v="0"/>
    <x v="210"/>
  </r>
  <r>
    <x v="178"/>
    <x v="171"/>
    <x v="0"/>
    <x v="3"/>
    <x v="238"/>
    <x v="1"/>
    <x v="0"/>
    <x v="238"/>
    <n v="115.99"/>
    <x v="149"/>
    <x v="15"/>
    <x v="0"/>
    <x v="0"/>
    <x v="2"/>
    <x v="0"/>
    <x v="7"/>
    <x v="208"/>
    <x v="0"/>
    <x v="211"/>
  </r>
  <r>
    <x v="179"/>
    <x v="172"/>
    <x v="0"/>
    <x v="43"/>
    <x v="239"/>
    <x v="10"/>
    <x v="0"/>
    <x v="239"/>
    <n v="4.9800000000000004"/>
    <x v="150"/>
    <x v="42"/>
    <x v="0"/>
    <x v="0"/>
    <x v="3"/>
    <x v="1"/>
    <x v="5"/>
    <x v="209"/>
    <x v="0"/>
    <x v="212"/>
  </r>
  <r>
    <x v="180"/>
    <x v="173"/>
    <x v="3"/>
    <x v="3"/>
    <x v="240"/>
    <x v="10"/>
    <x v="1"/>
    <x v="240"/>
    <n v="179.29"/>
    <x v="151"/>
    <x v="40"/>
    <x v="0"/>
    <x v="0"/>
    <x v="2"/>
    <x v="2"/>
    <x v="2"/>
    <x v="210"/>
    <x v="2"/>
    <x v="213"/>
  </r>
  <r>
    <x v="181"/>
    <x v="124"/>
    <x v="3"/>
    <x v="28"/>
    <x v="241"/>
    <x v="6"/>
    <x v="1"/>
    <x v="241"/>
    <n v="270.97000000000003"/>
    <x v="152"/>
    <x v="65"/>
    <x v="0"/>
    <x v="0"/>
    <x v="2"/>
    <x v="0"/>
    <x v="15"/>
    <x v="211"/>
    <x v="6"/>
    <x v="214"/>
  </r>
  <r>
    <x v="182"/>
    <x v="112"/>
    <x v="3"/>
    <x v="43"/>
    <x v="242"/>
    <x v="3"/>
    <x v="0"/>
    <x v="242"/>
    <n v="3.98"/>
    <x v="76"/>
    <x v="1"/>
    <x v="0"/>
    <x v="0"/>
    <x v="0"/>
    <x v="1"/>
    <x v="3"/>
    <x v="201"/>
    <x v="0"/>
    <x v="215"/>
  </r>
  <r>
    <x v="182"/>
    <x v="112"/>
    <x v="3"/>
    <x v="33"/>
    <x v="243"/>
    <x v="8"/>
    <x v="0"/>
    <x v="243"/>
    <n v="5.84"/>
    <x v="153"/>
    <x v="1"/>
    <x v="0"/>
    <x v="0"/>
    <x v="0"/>
    <x v="1"/>
    <x v="1"/>
    <x v="212"/>
    <x v="3"/>
    <x v="215"/>
  </r>
  <r>
    <x v="183"/>
    <x v="174"/>
    <x v="2"/>
    <x v="3"/>
    <x v="244"/>
    <x v="7"/>
    <x v="1"/>
    <x v="244"/>
    <n v="119.99"/>
    <x v="59"/>
    <x v="5"/>
    <x v="0"/>
    <x v="0"/>
    <x v="1"/>
    <x v="0"/>
    <x v="15"/>
    <x v="154"/>
    <x v="2"/>
    <x v="216"/>
  </r>
  <r>
    <x v="183"/>
    <x v="174"/>
    <x v="2"/>
    <x v="23"/>
    <x v="245"/>
    <x v="0"/>
    <x v="0"/>
    <x v="245"/>
    <n v="36.549999999999997"/>
    <x v="154"/>
    <x v="5"/>
    <x v="0"/>
    <x v="0"/>
    <x v="1"/>
    <x v="1"/>
    <x v="1"/>
    <x v="213"/>
    <x v="3"/>
    <x v="217"/>
  </r>
  <r>
    <x v="184"/>
    <x v="175"/>
    <x v="2"/>
    <x v="18"/>
    <x v="246"/>
    <x v="10"/>
    <x v="1"/>
    <x v="246"/>
    <n v="259.70999999999998"/>
    <x v="155"/>
    <x v="60"/>
    <x v="0"/>
    <x v="0"/>
    <x v="3"/>
    <x v="2"/>
    <x v="2"/>
    <x v="214"/>
    <x v="2"/>
    <x v="218"/>
  </r>
  <r>
    <x v="185"/>
    <x v="176"/>
    <x v="1"/>
    <x v="5"/>
    <x v="247"/>
    <x v="10"/>
    <x v="0"/>
    <x v="247"/>
    <n v="15.99"/>
    <x v="156"/>
    <x v="21"/>
    <x v="0"/>
    <x v="0"/>
    <x v="3"/>
    <x v="0"/>
    <x v="15"/>
    <x v="215"/>
    <x v="4"/>
    <x v="219"/>
  </r>
  <r>
    <x v="186"/>
    <x v="177"/>
    <x v="4"/>
    <x v="11"/>
    <x v="248"/>
    <x v="7"/>
    <x v="0"/>
    <x v="248"/>
    <n v="161.55000000000001"/>
    <x v="0"/>
    <x v="77"/>
    <x v="0"/>
    <x v="0"/>
    <x v="1"/>
    <x v="1"/>
    <x v="6"/>
    <x v="216"/>
    <x v="0"/>
    <x v="220"/>
  </r>
  <r>
    <x v="187"/>
    <x v="178"/>
    <x v="1"/>
    <x v="17"/>
    <x v="249"/>
    <x v="5"/>
    <x v="2"/>
    <x v="249"/>
    <n v="136.97999999999999"/>
    <x v="37"/>
    <x v="44"/>
    <x v="0"/>
    <x v="0"/>
    <x v="3"/>
    <x v="2"/>
    <x v="9"/>
    <x v="217"/>
    <x v="5"/>
    <x v="30"/>
  </r>
  <r>
    <x v="188"/>
    <x v="179"/>
    <x v="4"/>
    <x v="43"/>
    <x v="250"/>
    <x v="3"/>
    <x v="0"/>
    <x v="250"/>
    <n v="65.989999999999995"/>
    <x v="82"/>
    <x v="56"/>
    <x v="0"/>
    <x v="0"/>
    <x v="2"/>
    <x v="0"/>
    <x v="7"/>
    <x v="218"/>
    <x v="0"/>
    <x v="221"/>
  </r>
  <r>
    <x v="189"/>
    <x v="180"/>
    <x v="4"/>
    <x v="38"/>
    <x v="251"/>
    <x v="6"/>
    <x v="1"/>
    <x v="251"/>
    <n v="150.97999999999999"/>
    <x v="114"/>
    <x v="61"/>
    <x v="0"/>
    <x v="0"/>
    <x v="2"/>
    <x v="2"/>
    <x v="10"/>
    <x v="164"/>
    <x v="2"/>
    <x v="222"/>
  </r>
  <r>
    <x v="190"/>
    <x v="181"/>
    <x v="3"/>
    <x v="8"/>
    <x v="252"/>
    <x v="4"/>
    <x v="2"/>
    <x v="252"/>
    <n v="2.98"/>
    <x v="77"/>
    <x v="53"/>
    <x v="0"/>
    <x v="0"/>
    <x v="2"/>
    <x v="1"/>
    <x v="1"/>
    <x v="219"/>
    <x v="3"/>
    <x v="223"/>
  </r>
  <r>
    <x v="191"/>
    <x v="182"/>
    <x v="1"/>
    <x v="24"/>
    <x v="253"/>
    <x v="6"/>
    <x v="0"/>
    <x v="253"/>
    <n v="140.99"/>
    <x v="24"/>
    <x v="71"/>
    <x v="0"/>
    <x v="0"/>
    <x v="3"/>
    <x v="0"/>
    <x v="15"/>
    <x v="220"/>
    <x v="4"/>
    <x v="224"/>
  </r>
  <r>
    <x v="192"/>
    <x v="114"/>
    <x v="2"/>
    <x v="41"/>
    <x v="254"/>
    <x v="2"/>
    <x v="2"/>
    <x v="254"/>
    <n v="14.42"/>
    <x v="157"/>
    <x v="11"/>
    <x v="0"/>
    <x v="0"/>
    <x v="1"/>
    <x v="1"/>
    <x v="13"/>
    <x v="221"/>
    <x v="4"/>
    <x v="135"/>
  </r>
  <r>
    <x v="193"/>
    <x v="181"/>
    <x v="1"/>
    <x v="26"/>
    <x v="255"/>
    <x v="3"/>
    <x v="0"/>
    <x v="255"/>
    <n v="9.06"/>
    <x v="158"/>
    <x v="53"/>
    <x v="0"/>
    <x v="0"/>
    <x v="2"/>
    <x v="1"/>
    <x v="5"/>
    <x v="222"/>
    <x v="0"/>
    <x v="225"/>
  </r>
  <r>
    <x v="194"/>
    <x v="106"/>
    <x v="2"/>
    <x v="12"/>
    <x v="256"/>
    <x v="7"/>
    <x v="0"/>
    <x v="256"/>
    <n v="14.48"/>
    <x v="10"/>
    <x v="30"/>
    <x v="0"/>
    <x v="0"/>
    <x v="2"/>
    <x v="0"/>
    <x v="0"/>
    <x v="10"/>
    <x v="1"/>
    <x v="226"/>
  </r>
  <r>
    <x v="194"/>
    <x v="106"/>
    <x v="2"/>
    <x v="42"/>
    <x v="257"/>
    <x v="7"/>
    <x v="1"/>
    <x v="257"/>
    <n v="417.4"/>
    <x v="159"/>
    <x v="30"/>
    <x v="0"/>
    <x v="0"/>
    <x v="2"/>
    <x v="2"/>
    <x v="2"/>
    <x v="223"/>
    <x v="2"/>
    <x v="126"/>
  </r>
  <r>
    <x v="195"/>
    <x v="132"/>
    <x v="4"/>
    <x v="25"/>
    <x v="258"/>
    <x v="5"/>
    <x v="0"/>
    <x v="258"/>
    <n v="21.98"/>
    <x v="160"/>
    <x v="16"/>
    <x v="0"/>
    <x v="0"/>
    <x v="2"/>
    <x v="1"/>
    <x v="5"/>
    <x v="224"/>
    <x v="3"/>
    <x v="227"/>
  </r>
  <r>
    <x v="195"/>
    <x v="132"/>
    <x v="4"/>
    <x v="12"/>
    <x v="259"/>
    <x v="4"/>
    <x v="0"/>
    <x v="259"/>
    <n v="71.37"/>
    <x v="105"/>
    <x v="16"/>
    <x v="0"/>
    <x v="0"/>
    <x v="2"/>
    <x v="2"/>
    <x v="2"/>
    <x v="225"/>
    <x v="5"/>
    <x v="228"/>
  </r>
  <r>
    <x v="196"/>
    <x v="183"/>
    <x v="0"/>
    <x v="23"/>
    <x v="260"/>
    <x v="0"/>
    <x v="0"/>
    <x v="260"/>
    <n v="5.94"/>
    <x v="161"/>
    <x v="78"/>
    <x v="0"/>
    <x v="0"/>
    <x v="3"/>
    <x v="1"/>
    <x v="3"/>
    <x v="226"/>
    <x v="0"/>
    <x v="229"/>
  </r>
  <r>
    <x v="196"/>
    <x v="183"/>
    <x v="0"/>
    <x v="15"/>
    <x v="261"/>
    <x v="6"/>
    <x v="0"/>
    <x v="261"/>
    <n v="39.979999999999997"/>
    <x v="113"/>
    <x v="78"/>
    <x v="0"/>
    <x v="0"/>
    <x v="3"/>
    <x v="2"/>
    <x v="9"/>
    <x v="163"/>
    <x v="3"/>
    <x v="230"/>
  </r>
  <r>
    <x v="196"/>
    <x v="183"/>
    <x v="0"/>
    <x v="2"/>
    <x v="262"/>
    <x v="9"/>
    <x v="0"/>
    <x v="262"/>
    <n v="194.3"/>
    <x v="162"/>
    <x v="78"/>
    <x v="0"/>
    <x v="0"/>
    <x v="3"/>
    <x v="2"/>
    <x v="9"/>
    <x v="227"/>
    <x v="5"/>
    <x v="231"/>
  </r>
  <r>
    <x v="196"/>
    <x v="183"/>
    <x v="0"/>
    <x v="4"/>
    <x v="263"/>
    <x v="0"/>
    <x v="0"/>
    <x v="263"/>
    <n v="6.98"/>
    <x v="163"/>
    <x v="78"/>
    <x v="0"/>
    <x v="0"/>
    <x v="3"/>
    <x v="1"/>
    <x v="6"/>
    <x v="228"/>
    <x v="0"/>
    <x v="231"/>
  </r>
  <r>
    <x v="197"/>
    <x v="184"/>
    <x v="0"/>
    <x v="39"/>
    <x v="264"/>
    <x v="1"/>
    <x v="0"/>
    <x v="264"/>
    <n v="7.38"/>
    <x v="164"/>
    <x v="73"/>
    <x v="0"/>
    <x v="0"/>
    <x v="3"/>
    <x v="2"/>
    <x v="9"/>
    <x v="229"/>
    <x v="0"/>
    <x v="232"/>
  </r>
  <r>
    <x v="198"/>
    <x v="185"/>
    <x v="0"/>
    <x v="13"/>
    <x v="265"/>
    <x v="7"/>
    <x v="0"/>
    <x v="265"/>
    <n v="56.96"/>
    <x v="120"/>
    <x v="59"/>
    <x v="0"/>
    <x v="0"/>
    <x v="0"/>
    <x v="1"/>
    <x v="13"/>
    <x v="171"/>
    <x v="0"/>
    <x v="233"/>
  </r>
  <r>
    <x v="198"/>
    <x v="185"/>
    <x v="0"/>
    <x v="37"/>
    <x v="266"/>
    <x v="0"/>
    <x v="2"/>
    <x v="266"/>
    <n v="73.98"/>
    <x v="13"/>
    <x v="59"/>
    <x v="0"/>
    <x v="0"/>
    <x v="0"/>
    <x v="0"/>
    <x v="0"/>
    <x v="46"/>
    <x v="0"/>
    <x v="234"/>
  </r>
  <r>
    <x v="199"/>
    <x v="186"/>
    <x v="0"/>
    <x v="32"/>
    <x v="267"/>
    <x v="7"/>
    <x v="0"/>
    <x v="267"/>
    <n v="11.58"/>
    <x v="165"/>
    <x v="76"/>
    <x v="0"/>
    <x v="0"/>
    <x v="1"/>
    <x v="1"/>
    <x v="4"/>
    <x v="230"/>
    <x v="0"/>
    <x v="235"/>
  </r>
  <r>
    <x v="200"/>
    <x v="105"/>
    <x v="1"/>
    <x v="4"/>
    <x v="268"/>
    <x v="7"/>
    <x v="1"/>
    <x v="268"/>
    <n v="350.98"/>
    <x v="147"/>
    <x v="42"/>
    <x v="0"/>
    <x v="0"/>
    <x v="3"/>
    <x v="2"/>
    <x v="14"/>
    <x v="231"/>
    <x v="6"/>
    <x v="236"/>
  </r>
  <r>
    <x v="201"/>
    <x v="38"/>
    <x v="4"/>
    <x v="30"/>
    <x v="269"/>
    <x v="7"/>
    <x v="1"/>
    <x v="269"/>
    <n v="328.14"/>
    <x v="166"/>
    <x v="49"/>
    <x v="0"/>
    <x v="0"/>
    <x v="0"/>
    <x v="1"/>
    <x v="13"/>
    <x v="232"/>
    <x v="6"/>
    <x v="47"/>
  </r>
  <r>
    <x v="202"/>
    <x v="187"/>
    <x v="2"/>
    <x v="29"/>
    <x v="270"/>
    <x v="4"/>
    <x v="2"/>
    <x v="270"/>
    <n v="6.04"/>
    <x v="167"/>
    <x v="58"/>
    <x v="0"/>
    <x v="0"/>
    <x v="0"/>
    <x v="1"/>
    <x v="5"/>
    <x v="233"/>
    <x v="3"/>
    <x v="237"/>
  </r>
  <r>
    <x v="203"/>
    <x v="188"/>
    <x v="2"/>
    <x v="43"/>
    <x v="271"/>
    <x v="5"/>
    <x v="0"/>
    <x v="271"/>
    <n v="37.700000000000003"/>
    <x v="168"/>
    <x v="21"/>
    <x v="0"/>
    <x v="0"/>
    <x v="3"/>
    <x v="1"/>
    <x v="3"/>
    <x v="234"/>
    <x v="0"/>
    <x v="238"/>
  </r>
  <r>
    <x v="203"/>
    <x v="188"/>
    <x v="2"/>
    <x v="48"/>
    <x v="272"/>
    <x v="6"/>
    <x v="0"/>
    <x v="272"/>
    <n v="55.99"/>
    <x v="64"/>
    <x v="21"/>
    <x v="0"/>
    <x v="0"/>
    <x v="3"/>
    <x v="0"/>
    <x v="7"/>
    <x v="235"/>
    <x v="1"/>
    <x v="238"/>
  </r>
  <r>
    <x v="204"/>
    <x v="189"/>
    <x v="2"/>
    <x v="32"/>
    <x v="273"/>
    <x v="4"/>
    <x v="0"/>
    <x v="273"/>
    <n v="20.99"/>
    <x v="22"/>
    <x v="19"/>
    <x v="0"/>
    <x v="0"/>
    <x v="3"/>
    <x v="0"/>
    <x v="7"/>
    <x v="236"/>
    <x v="3"/>
    <x v="239"/>
  </r>
  <r>
    <x v="205"/>
    <x v="190"/>
    <x v="0"/>
    <x v="30"/>
    <x v="274"/>
    <x v="5"/>
    <x v="1"/>
    <x v="274"/>
    <n v="270.98"/>
    <x v="169"/>
    <x v="27"/>
    <x v="0"/>
    <x v="0"/>
    <x v="3"/>
    <x v="2"/>
    <x v="14"/>
    <x v="237"/>
    <x v="6"/>
    <x v="240"/>
  </r>
  <r>
    <x v="206"/>
    <x v="191"/>
    <x v="3"/>
    <x v="44"/>
    <x v="275"/>
    <x v="0"/>
    <x v="1"/>
    <x v="275"/>
    <n v="180.98"/>
    <x v="147"/>
    <x v="25"/>
    <x v="0"/>
    <x v="0"/>
    <x v="0"/>
    <x v="2"/>
    <x v="14"/>
    <x v="238"/>
    <x v="6"/>
    <x v="241"/>
  </r>
  <r>
    <x v="206"/>
    <x v="191"/>
    <x v="3"/>
    <x v="49"/>
    <x v="276"/>
    <x v="9"/>
    <x v="0"/>
    <x v="276"/>
    <n v="10.31"/>
    <x v="170"/>
    <x v="25"/>
    <x v="0"/>
    <x v="0"/>
    <x v="0"/>
    <x v="1"/>
    <x v="5"/>
    <x v="239"/>
    <x v="3"/>
    <x v="241"/>
  </r>
  <r>
    <x v="207"/>
    <x v="192"/>
    <x v="4"/>
    <x v="38"/>
    <x v="277"/>
    <x v="5"/>
    <x v="1"/>
    <x v="277"/>
    <n v="90.97"/>
    <x v="171"/>
    <x v="75"/>
    <x v="0"/>
    <x v="0"/>
    <x v="0"/>
    <x v="0"/>
    <x v="15"/>
    <x v="240"/>
    <x v="6"/>
    <x v="242"/>
  </r>
  <r>
    <x v="208"/>
    <x v="193"/>
    <x v="3"/>
    <x v="26"/>
    <x v="278"/>
    <x v="10"/>
    <x v="1"/>
    <x v="278"/>
    <n v="150.97999999999999"/>
    <x v="114"/>
    <x v="9"/>
    <x v="0"/>
    <x v="0"/>
    <x v="1"/>
    <x v="2"/>
    <x v="10"/>
    <x v="164"/>
    <x v="2"/>
    <x v="243"/>
  </r>
  <r>
    <x v="209"/>
    <x v="175"/>
    <x v="3"/>
    <x v="29"/>
    <x v="279"/>
    <x v="8"/>
    <x v="0"/>
    <x v="279"/>
    <n v="110.98"/>
    <x v="66"/>
    <x v="79"/>
    <x v="0"/>
    <x v="0"/>
    <x v="0"/>
    <x v="1"/>
    <x v="6"/>
    <x v="241"/>
    <x v="5"/>
    <x v="244"/>
  </r>
  <r>
    <x v="210"/>
    <x v="105"/>
    <x v="0"/>
    <x v="20"/>
    <x v="280"/>
    <x v="6"/>
    <x v="0"/>
    <x v="280"/>
    <n v="4.4800000000000004"/>
    <x v="172"/>
    <x v="73"/>
    <x v="0"/>
    <x v="0"/>
    <x v="3"/>
    <x v="1"/>
    <x v="13"/>
    <x v="242"/>
    <x v="5"/>
    <x v="236"/>
  </r>
  <r>
    <x v="210"/>
    <x v="105"/>
    <x v="0"/>
    <x v="34"/>
    <x v="281"/>
    <x v="9"/>
    <x v="1"/>
    <x v="281"/>
    <n v="130.97999999999999"/>
    <x v="147"/>
    <x v="73"/>
    <x v="0"/>
    <x v="0"/>
    <x v="3"/>
    <x v="2"/>
    <x v="14"/>
    <x v="206"/>
    <x v="6"/>
    <x v="245"/>
  </r>
  <r>
    <x v="210"/>
    <x v="105"/>
    <x v="0"/>
    <x v="30"/>
    <x v="282"/>
    <x v="3"/>
    <x v="0"/>
    <x v="282"/>
    <n v="15.98"/>
    <x v="115"/>
    <x v="73"/>
    <x v="0"/>
    <x v="0"/>
    <x v="3"/>
    <x v="0"/>
    <x v="0"/>
    <x v="23"/>
    <x v="0"/>
    <x v="245"/>
  </r>
  <r>
    <x v="211"/>
    <x v="194"/>
    <x v="4"/>
    <x v="30"/>
    <x v="283"/>
    <x v="1"/>
    <x v="0"/>
    <x v="283"/>
    <n v="27.48"/>
    <x v="13"/>
    <x v="80"/>
    <x v="0"/>
    <x v="0"/>
    <x v="3"/>
    <x v="0"/>
    <x v="0"/>
    <x v="243"/>
    <x v="0"/>
    <x v="246"/>
  </r>
  <r>
    <x v="212"/>
    <x v="195"/>
    <x v="3"/>
    <x v="43"/>
    <x v="284"/>
    <x v="10"/>
    <x v="2"/>
    <x v="284"/>
    <n v="304.99"/>
    <x v="0"/>
    <x v="64"/>
    <x v="0"/>
    <x v="0"/>
    <x v="0"/>
    <x v="1"/>
    <x v="3"/>
    <x v="244"/>
    <x v="0"/>
    <x v="247"/>
  </r>
  <r>
    <x v="213"/>
    <x v="111"/>
    <x v="2"/>
    <x v="11"/>
    <x v="285"/>
    <x v="7"/>
    <x v="2"/>
    <x v="285"/>
    <n v="4.9800000000000004"/>
    <x v="173"/>
    <x v="30"/>
    <x v="0"/>
    <x v="0"/>
    <x v="0"/>
    <x v="1"/>
    <x v="5"/>
    <x v="245"/>
    <x v="0"/>
    <x v="132"/>
  </r>
  <r>
    <x v="213"/>
    <x v="111"/>
    <x v="2"/>
    <x v="23"/>
    <x v="286"/>
    <x v="7"/>
    <x v="1"/>
    <x v="286"/>
    <n v="348.21"/>
    <x v="174"/>
    <x v="30"/>
    <x v="0"/>
    <x v="0"/>
    <x v="0"/>
    <x v="2"/>
    <x v="2"/>
    <x v="246"/>
    <x v="2"/>
    <x v="248"/>
  </r>
  <r>
    <x v="213"/>
    <x v="111"/>
    <x v="2"/>
    <x v="47"/>
    <x v="287"/>
    <x v="9"/>
    <x v="0"/>
    <x v="287"/>
    <n v="35.99"/>
    <x v="137"/>
    <x v="30"/>
    <x v="0"/>
    <x v="0"/>
    <x v="0"/>
    <x v="0"/>
    <x v="7"/>
    <x v="247"/>
    <x v="3"/>
    <x v="132"/>
  </r>
  <r>
    <x v="214"/>
    <x v="196"/>
    <x v="2"/>
    <x v="28"/>
    <x v="288"/>
    <x v="0"/>
    <x v="0"/>
    <x v="288"/>
    <n v="11.7"/>
    <x v="175"/>
    <x v="6"/>
    <x v="0"/>
    <x v="0"/>
    <x v="0"/>
    <x v="1"/>
    <x v="13"/>
    <x v="248"/>
    <x v="4"/>
    <x v="185"/>
  </r>
  <r>
    <x v="215"/>
    <x v="197"/>
    <x v="4"/>
    <x v="20"/>
    <x v="289"/>
    <x v="5"/>
    <x v="0"/>
    <x v="289"/>
    <n v="419.19"/>
    <x v="0"/>
    <x v="73"/>
    <x v="0"/>
    <x v="0"/>
    <x v="3"/>
    <x v="1"/>
    <x v="6"/>
    <x v="249"/>
    <x v="0"/>
    <x v="249"/>
  </r>
  <r>
    <x v="216"/>
    <x v="198"/>
    <x v="3"/>
    <x v="26"/>
    <x v="290"/>
    <x v="2"/>
    <x v="2"/>
    <x v="290"/>
    <n v="499.99"/>
    <x v="37"/>
    <x v="71"/>
    <x v="0"/>
    <x v="0"/>
    <x v="3"/>
    <x v="0"/>
    <x v="12"/>
    <x v="250"/>
    <x v="5"/>
    <x v="122"/>
  </r>
  <r>
    <x v="217"/>
    <x v="199"/>
    <x v="1"/>
    <x v="9"/>
    <x v="291"/>
    <x v="9"/>
    <x v="0"/>
    <x v="291"/>
    <n v="2.88"/>
    <x v="14"/>
    <x v="71"/>
    <x v="0"/>
    <x v="0"/>
    <x v="3"/>
    <x v="2"/>
    <x v="2"/>
    <x v="41"/>
    <x v="2"/>
    <x v="250"/>
  </r>
  <r>
    <x v="218"/>
    <x v="200"/>
    <x v="0"/>
    <x v="13"/>
    <x v="292"/>
    <x v="4"/>
    <x v="1"/>
    <x v="292"/>
    <n v="115.99"/>
    <x v="59"/>
    <x v="18"/>
    <x v="0"/>
    <x v="0"/>
    <x v="1"/>
    <x v="0"/>
    <x v="15"/>
    <x v="80"/>
    <x v="6"/>
    <x v="251"/>
  </r>
  <r>
    <x v="219"/>
    <x v="201"/>
    <x v="2"/>
    <x v="20"/>
    <x v="293"/>
    <x v="7"/>
    <x v="0"/>
    <x v="293"/>
    <n v="25.98"/>
    <x v="42"/>
    <x v="6"/>
    <x v="0"/>
    <x v="0"/>
    <x v="0"/>
    <x v="1"/>
    <x v="13"/>
    <x v="57"/>
    <x v="4"/>
    <x v="252"/>
  </r>
  <r>
    <x v="219"/>
    <x v="201"/>
    <x v="2"/>
    <x v="10"/>
    <x v="294"/>
    <x v="4"/>
    <x v="0"/>
    <x v="294"/>
    <n v="155.06"/>
    <x v="176"/>
    <x v="6"/>
    <x v="0"/>
    <x v="0"/>
    <x v="0"/>
    <x v="1"/>
    <x v="6"/>
    <x v="251"/>
    <x v="0"/>
    <x v="252"/>
  </r>
  <r>
    <x v="220"/>
    <x v="202"/>
    <x v="1"/>
    <x v="30"/>
    <x v="295"/>
    <x v="9"/>
    <x v="0"/>
    <x v="295"/>
    <n v="5.98"/>
    <x v="177"/>
    <x v="6"/>
    <x v="0"/>
    <x v="0"/>
    <x v="0"/>
    <x v="0"/>
    <x v="0"/>
    <x v="252"/>
    <x v="1"/>
    <x v="253"/>
  </r>
  <r>
    <x v="220"/>
    <x v="202"/>
    <x v="1"/>
    <x v="15"/>
    <x v="296"/>
    <x v="4"/>
    <x v="0"/>
    <x v="296"/>
    <n v="5.98"/>
    <x v="178"/>
    <x v="6"/>
    <x v="0"/>
    <x v="0"/>
    <x v="0"/>
    <x v="1"/>
    <x v="5"/>
    <x v="253"/>
    <x v="0"/>
    <x v="253"/>
  </r>
  <r>
    <x v="221"/>
    <x v="203"/>
    <x v="3"/>
    <x v="30"/>
    <x v="297"/>
    <x v="4"/>
    <x v="0"/>
    <x v="297"/>
    <n v="7.99"/>
    <x v="179"/>
    <x v="81"/>
    <x v="0"/>
    <x v="0"/>
    <x v="3"/>
    <x v="0"/>
    <x v="7"/>
    <x v="254"/>
    <x v="4"/>
    <x v="254"/>
  </r>
  <r>
    <x v="221"/>
    <x v="203"/>
    <x v="3"/>
    <x v="1"/>
    <x v="298"/>
    <x v="4"/>
    <x v="0"/>
    <x v="298"/>
    <n v="125.99"/>
    <x v="1"/>
    <x v="81"/>
    <x v="0"/>
    <x v="0"/>
    <x v="3"/>
    <x v="0"/>
    <x v="7"/>
    <x v="95"/>
    <x v="0"/>
    <x v="255"/>
  </r>
  <r>
    <x v="222"/>
    <x v="64"/>
    <x v="0"/>
    <x v="19"/>
    <x v="299"/>
    <x v="7"/>
    <x v="0"/>
    <x v="299"/>
    <n v="10.52"/>
    <x v="180"/>
    <x v="62"/>
    <x v="0"/>
    <x v="0"/>
    <x v="0"/>
    <x v="2"/>
    <x v="9"/>
    <x v="255"/>
    <x v="1"/>
    <x v="80"/>
  </r>
  <r>
    <x v="222"/>
    <x v="64"/>
    <x v="0"/>
    <x v="8"/>
    <x v="300"/>
    <x v="5"/>
    <x v="0"/>
    <x v="300"/>
    <n v="54.1"/>
    <x v="0"/>
    <x v="62"/>
    <x v="0"/>
    <x v="0"/>
    <x v="0"/>
    <x v="1"/>
    <x v="6"/>
    <x v="256"/>
    <x v="0"/>
    <x v="256"/>
  </r>
  <r>
    <x v="223"/>
    <x v="151"/>
    <x v="4"/>
    <x v="44"/>
    <x v="301"/>
    <x v="6"/>
    <x v="0"/>
    <x v="301"/>
    <n v="39.479999999999997"/>
    <x v="10"/>
    <x v="69"/>
    <x v="0"/>
    <x v="0"/>
    <x v="0"/>
    <x v="0"/>
    <x v="0"/>
    <x v="69"/>
    <x v="1"/>
    <x v="257"/>
  </r>
  <r>
    <x v="224"/>
    <x v="204"/>
    <x v="1"/>
    <x v="6"/>
    <x v="302"/>
    <x v="10"/>
    <x v="0"/>
    <x v="302"/>
    <n v="3.28"/>
    <x v="181"/>
    <x v="48"/>
    <x v="0"/>
    <x v="0"/>
    <x v="3"/>
    <x v="1"/>
    <x v="1"/>
    <x v="257"/>
    <x v="3"/>
    <x v="258"/>
  </r>
  <r>
    <x v="225"/>
    <x v="205"/>
    <x v="1"/>
    <x v="6"/>
    <x v="303"/>
    <x v="3"/>
    <x v="0"/>
    <x v="303"/>
    <n v="3.69"/>
    <x v="14"/>
    <x v="6"/>
    <x v="0"/>
    <x v="0"/>
    <x v="0"/>
    <x v="1"/>
    <x v="8"/>
    <x v="258"/>
    <x v="0"/>
    <x v="244"/>
  </r>
  <r>
    <x v="225"/>
    <x v="205"/>
    <x v="1"/>
    <x v="8"/>
    <x v="304"/>
    <x v="7"/>
    <x v="0"/>
    <x v="304"/>
    <n v="65.989999999999995"/>
    <x v="1"/>
    <x v="6"/>
    <x v="0"/>
    <x v="0"/>
    <x v="0"/>
    <x v="0"/>
    <x v="7"/>
    <x v="259"/>
    <x v="0"/>
    <x v="244"/>
  </r>
  <r>
    <x v="226"/>
    <x v="206"/>
    <x v="0"/>
    <x v="9"/>
    <x v="305"/>
    <x v="5"/>
    <x v="2"/>
    <x v="305"/>
    <n v="37.700000000000003"/>
    <x v="168"/>
    <x v="16"/>
    <x v="0"/>
    <x v="0"/>
    <x v="2"/>
    <x v="1"/>
    <x v="3"/>
    <x v="234"/>
    <x v="0"/>
    <x v="259"/>
  </r>
  <r>
    <x v="227"/>
    <x v="207"/>
    <x v="0"/>
    <x v="36"/>
    <x v="306"/>
    <x v="8"/>
    <x v="0"/>
    <x v="306"/>
    <n v="11.55"/>
    <x v="182"/>
    <x v="5"/>
    <x v="0"/>
    <x v="0"/>
    <x v="1"/>
    <x v="1"/>
    <x v="1"/>
    <x v="260"/>
    <x v="3"/>
    <x v="260"/>
  </r>
  <r>
    <x v="228"/>
    <x v="208"/>
    <x v="0"/>
    <x v="21"/>
    <x v="307"/>
    <x v="8"/>
    <x v="1"/>
    <x v="307"/>
    <n v="320.64"/>
    <x v="183"/>
    <x v="74"/>
    <x v="0"/>
    <x v="0"/>
    <x v="2"/>
    <x v="2"/>
    <x v="2"/>
    <x v="71"/>
    <x v="2"/>
    <x v="261"/>
  </r>
  <r>
    <x v="229"/>
    <x v="209"/>
    <x v="2"/>
    <x v="41"/>
    <x v="308"/>
    <x v="1"/>
    <x v="0"/>
    <x v="308"/>
    <n v="7.28"/>
    <x v="8"/>
    <x v="51"/>
    <x v="0"/>
    <x v="0"/>
    <x v="2"/>
    <x v="1"/>
    <x v="5"/>
    <x v="124"/>
    <x v="0"/>
    <x v="133"/>
  </r>
  <r>
    <x v="230"/>
    <x v="210"/>
    <x v="3"/>
    <x v="31"/>
    <x v="309"/>
    <x v="7"/>
    <x v="0"/>
    <x v="309"/>
    <n v="4.4800000000000004"/>
    <x v="172"/>
    <x v="43"/>
    <x v="0"/>
    <x v="0"/>
    <x v="0"/>
    <x v="1"/>
    <x v="13"/>
    <x v="242"/>
    <x v="5"/>
    <x v="262"/>
  </r>
  <r>
    <x v="231"/>
    <x v="211"/>
    <x v="3"/>
    <x v="28"/>
    <x v="310"/>
    <x v="5"/>
    <x v="0"/>
    <x v="310"/>
    <n v="19.98"/>
    <x v="184"/>
    <x v="60"/>
    <x v="0"/>
    <x v="0"/>
    <x v="2"/>
    <x v="1"/>
    <x v="5"/>
    <x v="261"/>
    <x v="0"/>
    <x v="263"/>
  </r>
  <r>
    <x v="231"/>
    <x v="211"/>
    <x v="3"/>
    <x v="27"/>
    <x v="311"/>
    <x v="1"/>
    <x v="0"/>
    <x v="311"/>
    <n v="125.99"/>
    <x v="84"/>
    <x v="60"/>
    <x v="0"/>
    <x v="0"/>
    <x v="2"/>
    <x v="0"/>
    <x v="7"/>
    <x v="262"/>
    <x v="0"/>
    <x v="264"/>
  </r>
  <r>
    <x v="232"/>
    <x v="178"/>
    <x v="0"/>
    <x v="44"/>
    <x v="312"/>
    <x v="0"/>
    <x v="0"/>
    <x v="312"/>
    <n v="65.989999999999995"/>
    <x v="185"/>
    <x v="73"/>
    <x v="0"/>
    <x v="0"/>
    <x v="3"/>
    <x v="0"/>
    <x v="7"/>
    <x v="263"/>
    <x v="0"/>
    <x v="106"/>
  </r>
  <r>
    <x v="232"/>
    <x v="178"/>
    <x v="0"/>
    <x v="3"/>
    <x v="313"/>
    <x v="2"/>
    <x v="2"/>
    <x v="313"/>
    <n v="10.01"/>
    <x v="10"/>
    <x v="73"/>
    <x v="0"/>
    <x v="0"/>
    <x v="3"/>
    <x v="0"/>
    <x v="0"/>
    <x v="264"/>
    <x v="1"/>
    <x v="30"/>
  </r>
  <r>
    <x v="233"/>
    <x v="212"/>
    <x v="2"/>
    <x v="39"/>
    <x v="314"/>
    <x v="7"/>
    <x v="0"/>
    <x v="314"/>
    <n v="1.26"/>
    <x v="16"/>
    <x v="26"/>
    <x v="0"/>
    <x v="0"/>
    <x v="0"/>
    <x v="1"/>
    <x v="11"/>
    <x v="265"/>
    <x v="3"/>
    <x v="265"/>
  </r>
  <r>
    <x v="234"/>
    <x v="213"/>
    <x v="1"/>
    <x v="11"/>
    <x v="315"/>
    <x v="5"/>
    <x v="2"/>
    <x v="315"/>
    <n v="7.96"/>
    <x v="41"/>
    <x v="59"/>
    <x v="0"/>
    <x v="0"/>
    <x v="0"/>
    <x v="2"/>
    <x v="9"/>
    <x v="56"/>
    <x v="0"/>
    <x v="266"/>
  </r>
  <r>
    <x v="235"/>
    <x v="214"/>
    <x v="0"/>
    <x v="30"/>
    <x v="316"/>
    <x v="6"/>
    <x v="1"/>
    <x v="316"/>
    <n v="200.98"/>
    <x v="186"/>
    <x v="41"/>
    <x v="0"/>
    <x v="0"/>
    <x v="3"/>
    <x v="2"/>
    <x v="14"/>
    <x v="266"/>
    <x v="6"/>
    <x v="267"/>
  </r>
  <r>
    <x v="236"/>
    <x v="215"/>
    <x v="3"/>
    <x v="32"/>
    <x v="317"/>
    <x v="4"/>
    <x v="0"/>
    <x v="317"/>
    <n v="8.5"/>
    <x v="10"/>
    <x v="53"/>
    <x v="0"/>
    <x v="0"/>
    <x v="2"/>
    <x v="0"/>
    <x v="0"/>
    <x v="109"/>
    <x v="1"/>
    <x v="149"/>
  </r>
  <r>
    <x v="237"/>
    <x v="216"/>
    <x v="4"/>
    <x v="13"/>
    <x v="318"/>
    <x v="7"/>
    <x v="1"/>
    <x v="318"/>
    <n v="146.34"/>
    <x v="187"/>
    <x v="82"/>
    <x v="0"/>
    <x v="0"/>
    <x v="2"/>
    <x v="2"/>
    <x v="2"/>
    <x v="267"/>
    <x v="2"/>
    <x v="268"/>
  </r>
  <r>
    <x v="238"/>
    <x v="217"/>
    <x v="0"/>
    <x v="23"/>
    <x v="319"/>
    <x v="9"/>
    <x v="0"/>
    <x v="319"/>
    <n v="22.84"/>
    <x v="188"/>
    <x v="47"/>
    <x v="0"/>
    <x v="0"/>
    <x v="0"/>
    <x v="1"/>
    <x v="5"/>
    <x v="268"/>
    <x v="0"/>
    <x v="269"/>
  </r>
  <r>
    <x v="239"/>
    <x v="218"/>
    <x v="0"/>
    <x v="24"/>
    <x v="320"/>
    <x v="3"/>
    <x v="0"/>
    <x v="320"/>
    <n v="95.99"/>
    <x v="84"/>
    <x v="62"/>
    <x v="0"/>
    <x v="0"/>
    <x v="0"/>
    <x v="0"/>
    <x v="7"/>
    <x v="269"/>
    <x v="0"/>
    <x v="198"/>
  </r>
  <r>
    <x v="240"/>
    <x v="55"/>
    <x v="3"/>
    <x v="24"/>
    <x v="321"/>
    <x v="1"/>
    <x v="0"/>
    <x v="321"/>
    <n v="30.56"/>
    <x v="168"/>
    <x v="77"/>
    <x v="0"/>
    <x v="0"/>
    <x v="1"/>
    <x v="1"/>
    <x v="3"/>
    <x v="270"/>
    <x v="0"/>
    <x v="70"/>
  </r>
  <r>
    <x v="241"/>
    <x v="219"/>
    <x v="0"/>
    <x v="37"/>
    <x v="322"/>
    <x v="3"/>
    <x v="0"/>
    <x v="322"/>
    <n v="35.409999999999997"/>
    <x v="10"/>
    <x v="50"/>
    <x v="0"/>
    <x v="0"/>
    <x v="2"/>
    <x v="0"/>
    <x v="0"/>
    <x v="271"/>
    <x v="1"/>
    <x v="270"/>
  </r>
  <r>
    <x v="241"/>
    <x v="219"/>
    <x v="0"/>
    <x v="30"/>
    <x v="323"/>
    <x v="4"/>
    <x v="0"/>
    <x v="323"/>
    <n v="3499.99"/>
    <x v="37"/>
    <x v="50"/>
    <x v="0"/>
    <x v="0"/>
    <x v="2"/>
    <x v="0"/>
    <x v="12"/>
    <x v="272"/>
    <x v="5"/>
    <x v="271"/>
  </r>
  <r>
    <x v="242"/>
    <x v="220"/>
    <x v="0"/>
    <x v="27"/>
    <x v="324"/>
    <x v="2"/>
    <x v="0"/>
    <x v="324"/>
    <n v="31.78"/>
    <x v="10"/>
    <x v="8"/>
    <x v="0"/>
    <x v="0"/>
    <x v="0"/>
    <x v="0"/>
    <x v="0"/>
    <x v="273"/>
    <x v="1"/>
    <x v="272"/>
  </r>
  <r>
    <x v="243"/>
    <x v="221"/>
    <x v="3"/>
    <x v="4"/>
    <x v="325"/>
    <x v="5"/>
    <x v="0"/>
    <x v="325"/>
    <n v="14.34"/>
    <x v="64"/>
    <x v="83"/>
    <x v="0"/>
    <x v="0"/>
    <x v="2"/>
    <x v="2"/>
    <x v="9"/>
    <x v="88"/>
    <x v="1"/>
    <x v="273"/>
  </r>
  <r>
    <x v="244"/>
    <x v="222"/>
    <x v="4"/>
    <x v="24"/>
    <x v="326"/>
    <x v="1"/>
    <x v="0"/>
    <x v="326"/>
    <n v="5.78"/>
    <x v="7"/>
    <x v="46"/>
    <x v="0"/>
    <x v="0"/>
    <x v="2"/>
    <x v="1"/>
    <x v="5"/>
    <x v="7"/>
    <x v="0"/>
    <x v="274"/>
  </r>
  <r>
    <x v="245"/>
    <x v="223"/>
    <x v="2"/>
    <x v="41"/>
    <x v="327"/>
    <x v="2"/>
    <x v="0"/>
    <x v="327"/>
    <n v="20.99"/>
    <x v="97"/>
    <x v="73"/>
    <x v="0"/>
    <x v="0"/>
    <x v="2"/>
    <x v="0"/>
    <x v="7"/>
    <x v="138"/>
    <x v="4"/>
    <x v="275"/>
  </r>
  <r>
    <x v="246"/>
    <x v="224"/>
    <x v="0"/>
    <x v="26"/>
    <x v="328"/>
    <x v="5"/>
    <x v="0"/>
    <x v="328"/>
    <n v="152.47999999999999"/>
    <x v="13"/>
    <x v="48"/>
    <x v="0"/>
    <x v="0"/>
    <x v="3"/>
    <x v="0"/>
    <x v="0"/>
    <x v="274"/>
    <x v="0"/>
    <x v="276"/>
  </r>
  <r>
    <x v="247"/>
    <x v="225"/>
    <x v="0"/>
    <x v="17"/>
    <x v="329"/>
    <x v="7"/>
    <x v="0"/>
    <x v="329"/>
    <n v="9.11"/>
    <x v="189"/>
    <x v="14"/>
    <x v="0"/>
    <x v="0"/>
    <x v="0"/>
    <x v="1"/>
    <x v="5"/>
    <x v="275"/>
    <x v="3"/>
    <x v="277"/>
  </r>
  <r>
    <x v="248"/>
    <x v="145"/>
    <x v="3"/>
    <x v="12"/>
    <x v="330"/>
    <x v="4"/>
    <x v="1"/>
    <x v="330"/>
    <n v="200.98"/>
    <x v="190"/>
    <x v="75"/>
    <x v="0"/>
    <x v="0"/>
    <x v="0"/>
    <x v="2"/>
    <x v="10"/>
    <x v="276"/>
    <x v="2"/>
    <x v="278"/>
  </r>
  <r>
    <x v="249"/>
    <x v="226"/>
    <x v="2"/>
    <x v="30"/>
    <x v="331"/>
    <x v="10"/>
    <x v="2"/>
    <x v="331"/>
    <n v="9.65"/>
    <x v="191"/>
    <x v="5"/>
    <x v="0"/>
    <x v="0"/>
    <x v="0"/>
    <x v="2"/>
    <x v="9"/>
    <x v="277"/>
    <x v="0"/>
    <x v="279"/>
  </r>
  <r>
    <x v="249"/>
    <x v="226"/>
    <x v="2"/>
    <x v="24"/>
    <x v="332"/>
    <x v="1"/>
    <x v="0"/>
    <x v="332"/>
    <n v="5.58"/>
    <x v="16"/>
    <x v="5"/>
    <x v="0"/>
    <x v="0"/>
    <x v="0"/>
    <x v="1"/>
    <x v="1"/>
    <x v="278"/>
    <x v="3"/>
    <x v="280"/>
  </r>
  <r>
    <x v="250"/>
    <x v="227"/>
    <x v="1"/>
    <x v="13"/>
    <x v="333"/>
    <x v="10"/>
    <x v="0"/>
    <x v="333"/>
    <n v="10.89"/>
    <x v="39"/>
    <x v="25"/>
    <x v="0"/>
    <x v="0"/>
    <x v="0"/>
    <x v="1"/>
    <x v="13"/>
    <x v="54"/>
    <x v="0"/>
    <x v="236"/>
  </r>
  <r>
    <x v="250"/>
    <x v="227"/>
    <x v="1"/>
    <x v="18"/>
    <x v="334"/>
    <x v="7"/>
    <x v="0"/>
    <x v="334"/>
    <n v="50.98"/>
    <x v="138"/>
    <x v="25"/>
    <x v="0"/>
    <x v="0"/>
    <x v="0"/>
    <x v="2"/>
    <x v="9"/>
    <x v="194"/>
    <x v="5"/>
    <x v="245"/>
  </r>
  <r>
    <x v="251"/>
    <x v="228"/>
    <x v="2"/>
    <x v="38"/>
    <x v="335"/>
    <x v="2"/>
    <x v="0"/>
    <x v="335"/>
    <n v="5.98"/>
    <x v="192"/>
    <x v="49"/>
    <x v="0"/>
    <x v="0"/>
    <x v="0"/>
    <x v="1"/>
    <x v="5"/>
    <x v="279"/>
    <x v="0"/>
    <x v="281"/>
  </r>
  <r>
    <x v="252"/>
    <x v="229"/>
    <x v="1"/>
    <x v="29"/>
    <x v="336"/>
    <x v="6"/>
    <x v="0"/>
    <x v="336"/>
    <n v="99.23"/>
    <x v="1"/>
    <x v="25"/>
    <x v="0"/>
    <x v="0"/>
    <x v="0"/>
    <x v="2"/>
    <x v="9"/>
    <x v="280"/>
    <x v="1"/>
    <x v="282"/>
  </r>
  <r>
    <x v="253"/>
    <x v="47"/>
    <x v="4"/>
    <x v="6"/>
    <x v="337"/>
    <x v="1"/>
    <x v="0"/>
    <x v="337"/>
    <n v="10.98"/>
    <x v="193"/>
    <x v="32"/>
    <x v="0"/>
    <x v="0"/>
    <x v="0"/>
    <x v="1"/>
    <x v="13"/>
    <x v="281"/>
    <x v="0"/>
    <x v="61"/>
  </r>
  <r>
    <x v="254"/>
    <x v="230"/>
    <x v="0"/>
    <x v="32"/>
    <x v="338"/>
    <x v="9"/>
    <x v="0"/>
    <x v="338"/>
    <n v="15.67"/>
    <x v="126"/>
    <x v="27"/>
    <x v="0"/>
    <x v="0"/>
    <x v="3"/>
    <x v="1"/>
    <x v="4"/>
    <x v="282"/>
    <x v="0"/>
    <x v="65"/>
  </r>
  <r>
    <x v="254"/>
    <x v="230"/>
    <x v="0"/>
    <x v="27"/>
    <x v="339"/>
    <x v="0"/>
    <x v="0"/>
    <x v="339"/>
    <n v="51.65"/>
    <x v="194"/>
    <x v="27"/>
    <x v="0"/>
    <x v="0"/>
    <x v="3"/>
    <x v="2"/>
    <x v="9"/>
    <x v="283"/>
    <x v="4"/>
    <x v="283"/>
  </r>
  <r>
    <x v="254"/>
    <x v="230"/>
    <x v="0"/>
    <x v="35"/>
    <x v="340"/>
    <x v="5"/>
    <x v="2"/>
    <x v="340"/>
    <n v="125.99"/>
    <x v="1"/>
    <x v="27"/>
    <x v="0"/>
    <x v="0"/>
    <x v="3"/>
    <x v="0"/>
    <x v="7"/>
    <x v="284"/>
    <x v="0"/>
    <x v="65"/>
  </r>
  <r>
    <x v="255"/>
    <x v="231"/>
    <x v="0"/>
    <x v="40"/>
    <x v="341"/>
    <x v="6"/>
    <x v="0"/>
    <x v="341"/>
    <n v="6.54"/>
    <x v="195"/>
    <x v="72"/>
    <x v="0"/>
    <x v="0"/>
    <x v="0"/>
    <x v="1"/>
    <x v="3"/>
    <x v="285"/>
    <x v="0"/>
    <x v="284"/>
  </r>
  <r>
    <x v="256"/>
    <x v="232"/>
    <x v="4"/>
    <x v="9"/>
    <x v="342"/>
    <x v="0"/>
    <x v="0"/>
    <x v="342"/>
    <n v="101.41"/>
    <x v="66"/>
    <x v="84"/>
    <x v="0"/>
    <x v="0"/>
    <x v="1"/>
    <x v="1"/>
    <x v="6"/>
    <x v="90"/>
    <x v="5"/>
    <x v="285"/>
  </r>
  <r>
    <x v="257"/>
    <x v="233"/>
    <x v="0"/>
    <x v="47"/>
    <x v="343"/>
    <x v="9"/>
    <x v="0"/>
    <x v="343"/>
    <n v="6.48"/>
    <x v="196"/>
    <x v="85"/>
    <x v="0"/>
    <x v="0"/>
    <x v="2"/>
    <x v="1"/>
    <x v="5"/>
    <x v="286"/>
    <x v="0"/>
    <x v="286"/>
  </r>
  <r>
    <x v="258"/>
    <x v="234"/>
    <x v="2"/>
    <x v="34"/>
    <x v="344"/>
    <x v="9"/>
    <x v="1"/>
    <x v="344"/>
    <n v="348.21"/>
    <x v="174"/>
    <x v="86"/>
    <x v="0"/>
    <x v="0"/>
    <x v="1"/>
    <x v="2"/>
    <x v="2"/>
    <x v="246"/>
    <x v="2"/>
    <x v="287"/>
  </r>
  <r>
    <x v="259"/>
    <x v="65"/>
    <x v="3"/>
    <x v="20"/>
    <x v="345"/>
    <x v="1"/>
    <x v="0"/>
    <x v="345"/>
    <n v="12.28"/>
    <x v="148"/>
    <x v="87"/>
    <x v="0"/>
    <x v="0"/>
    <x v="0"/>
    <x v="1"/>
    <x v="5"/>
    <x v="287"/>
    <x v="0"/>
    <x v="288"/>
  </r>
  <r>
    <x v="260"/>
    <x v="235"/>
    <x v="1"/>
    <x v="19"/>
    <x v="346"/>
    <x v="7"/>
    <x v="0"/>
    <x v="346"/>
    <n v="7.45"/>
    <x v="21"/>
    <x v="65"/>
    <x v="0"/>
    <x v="0"/>
    <x v="2"/>
    <x v="1"/>
    <x v="3"/>
    <x v="288"/>
    <x v="0"/>
    <x v="289"/>
  </r>
  <r>
    <x v="261"/>
    <x v="236"/>
    <x v="2"/>
    <x v="33"/>
    <x v="347"/>
    <x v="6"/>
    <x v="0"/>
    <x v="347"/>
    <n v="4.54"/>
    <x v="197"/>
    <x v="88"/>
    <x v="0"/>
    <x v="0"/>
    <x v="0"/>
    <x v="1"/>
    <x v="3"/>
    <x v="289"/>
    <x v="0"/>
    <x v="290"/>
  </r>
  <r>
    <x v="262"/>
    <x v="237"/>
    <x v="3"/>
    <x v="17"/>
    <x v="348"/>
    <x v="6"/>
    <x v="1"/>
    <x v="348"/>
    <n v="146.05000000000001"/>
    <x v="17"/>
    <x v="21"/>
    <x v="0"/>
    <x v="0"/>
    <x v="3"/>
    <x v="2"/>
    <x v="2"/>
    <x v="24"/>
    <x v="2"/>
    <x v="291"/>
  </r>
  <r>
    <x v="263"/>
    <x v="238"/>
    <x v="1"/>
    <x v="15"/>
    <x v="349"/>
    <x v="7"/>
    <x v="1"/>
    <x v="349"/>
    <n v="3502.14"/>
    <x v="87"/>
    <x v="89"/>
    <x v="0"/>
    <x v="0"/>
    <x v="2"/>
    <x v="0"/>
    <x v="15"/>
    <x v="121"/>
    <x v="2"/>
    <x v="292"/>
  </r>
  <r>
    <x v="264"/>
    <x v="239"/>
    <x v="0"/>
    <x v="4"/>
    <x v="350"/>
    <x v="10"/>
    <x v="0"/>
    <x v="350"/>
    <n v="3.48"/>
    <x v="172"/>
    <x v="84"/>
    <x v="0"/>
    <x v="0"/>
    <x v="1"/>
    <x v="1"/>
    <x v="13"/>
    <x v="290"/>
    <x v="5"/>
    <x v="293"/>
  </r>
  <r>
    <x v="264"/>
    <x v="239"/>
    <x v="0"/>
    <x v="20"/>
    <x v="351"/>
    <x v="9"/>
    <x v="0"/>
    <x v="351"/>
    <n v="11.66"/>
    <x v="198"/>
    <x v="84"/>
    <x v="0"/>
    <x v="0"/>
    <x v="1"/>
    <x v="1"/>
    <x v="1"/>
    <x v="291"/>
    <x v="1"/>
    <x v="293"/>
  </r>
  <r>
    <x v="264"/>
    <x v="239"/>
    <x v="0"/>
    <x v="20"/>
    <x v="352"/>
    <x v="5"/>
    <x v="0"/>
    <x v="352"/>
    <n v="12.98"/>
    <x v="199"/>
    <x v="84"/>
    <x v="0"/>
    <x v="0"/>
    <x v="1"/>
    <x v="1"/>
    <x v="16"/>
    <x v="292"/>
    <x v="1"/>
    <x v="293"/>
  </r>
  <r>
    <x v="265"/>
    <x v="240"/>
    <x v="4"/>
    <x v="8"/>
    <x v="353"/>
    <x v="4"/>
    <x v="0"/>
    <x v="353"/>
    <n v="19.98"/>
    <x v="49"/>
    <x v="3"/>
    <x v="0"/>
    <x v="0"/>
    <x v="1"/>
    <x v="1"/>
    <x v="5"/>
    <x v="293"/>
    <x v="0"/>
    <x v="294"/>
  </r>
  <r>
    <x v="266"/>
    <x v="241"/>
    <x v="2"/>
    <x v="13"/>
    <x v="354"/>
    <x v="0"/>
    <x v="0"/>
    <x v="354"/>
    <n v="6.23"/>
    <x v="165"/>
    <x v="1"/>
    <x v="0"/>
    <x v="0"/>
    <x v="0"/>
    <x v="1"/>
    <x v="3"/>
    <x v="294"/>
    <x v="0"/>
    <x v="295"/>
  </r>
  <r>
    <x v="267"/>
    <x v="242"/>
    <x v="3"/>
    <x v="10"/>
    <x v="355"/>
    <x v="8"/>
    <x v="0"/>
    <x v="355"/>
    <n v="15.98"/>
    <x v="13"/>
    <x v="56"/>
    <x v="0"/>
    <x v="0"/>
    <x v="0"/>
    <x v="0"/>
    <x v="0"/>
    <x v="23"/>
    <x v="0"/>
    <x v="296"/>
  </r>
  <r>
    <x v="268"/>
    <x v="243"/>
    <x v="0"/>
    <x v="38"/>
    <x v="356"/>
    <x v="10"/>
    <x v="0"/>
    <x v="356"/>
    <n v="83.93"/>
    <x v="0"/>
    <x v="13"/>
    <x v="0"/>
    <x v="0"/>
    <x v="2"/>
    <x v="1"/>
    <x v="4"/>
    <x v="295"/>
    <x v="0"/>
    <x v="297"/>
  </r>
  <r>
    <x v="268"/>
    <x v="243"/>
    <x v="0"/>
    <x v="31"/>
    <x v="357"/>
    <x v="7"/>
    <x v="0"/>
    <x v="357"/>
    <n v="22.84"/>
    <x v="8"/>
    <x v="13"/>
    <x v="0"/>
    <x v="0"/>
    <x v="2"/>
    <x v="1"/>
    <x v="5"/>
    <x v="8"/>
    <x v="0"/>
    <x v="297"/>
  </r>
  <r>
    <x v="269"/>
    <x v="244"/>
    <x v="1"/>
    <x v="19"/>
    <x v="358"/>
    <x v="0"/>
    <x v="0"/>
    <x v="358"/>
    <n v="4.28"/>
    <x v="60"/>
    <x v="30"/>
    <x v="0"/>
    <x v="0"/>
    <x v="2"/>
    <x v="1"/>
    <x v="1"/>
    <x v="81"/>
    <x v="3"/>
    <x v="298"/>
  </r>
  <r>
    <x v="270"/>
    <x v="245"/>
    <x v="0"/>
    <x v="40"/>
    <x v="359"/>
    <x v="3"/>
    <x v="0"/>
    <x v="359"/>
    <n v="41.94"/>
    <x v="168"/>
    <x v="23"/>
    <x v="0"/>
    <x v="0"/>
    <x v="2"/>
    <x v="1"/>
    <x v="3"/>
    <x v="296"/>
    <x v="0"/>
    <x v="299"/>
  </r>
  <r>
    <x v="271"/>
    <x v="246"/>
    <x v="2"/>
    <x v="47"/>
    <x v="360"/>
    <x v="5"/>
    <x v="0"/>
    <x v="360"/>
    <n v="8.4499999999999993"/>
    <x v="200"/>
    <x v="21"/>
    <x v="0"/>
    <x v="0"/>
    <x v="3"/>
    <x v="1"/>
    <x v="16"/>
    <x v="297"/>
    <x v="1"/>
    <x v="300"/>
  </r>
  <r>
    <x v="271"/>
    <x v="246"/>
    <x v="2"/>
    <x v="41"/>
    <x v="361"/>
    <x v="5"/>
    <x v="0"/>
    <x v="361"/>
    <n v="115.99"/>
    <x v="149"/>
    <x v="21"/>
    <x v="0"/>
    <x v="0"/>
    <x v="3"/>
    <x v="0"/>
    <x v="7"/>
    <x v="208"/>
    <x v="0"/>
    <x v="300"/>
  </r>
  <r>
    <x v="272"/>
    <x v="247"/>
    <x v="1"/>
    <x v="39"/>
    <x v="362"/>
    <x v="9"/>
    <x v="2"/>
    <x v="362"/>
    <n v="4.9800000000000004"/>
    <x v="201"/>
    <x v="90"/>
    <x v="0"/>
    <x v="0"/>
    <x v="2"/>
    <x v="1"/>
    <x v="5"/>
    <x v="298"/>
    <x v="0"/>
    <x v="301"/>
  </r>
  <r>
    <x v="273"/>
    <x v="248"/>
    <x v="4"/>
    <x v="26"/>
    <x v="363"/>
    <x v="8"/>
    <x v="2"/>
    <x v="363"/>
    <n v="35.89"/>
    <x v="202"/>
    <x v="56"/>
    <x v="0"/>
    <x v="0"/>
    <x v="0"/>
    <x v="1"/>
    <x v="4"/>
    <x v="299"/>
    <x v="0"/>
    <x v="302"/>
  </r>
  <r>
    <x v="273"/>
    <x v="248"/>
    <x v="4"/>
    <x v="34"/>
    <x v="364"/>
    <x v="10"/>
    <x v="0"/>
    <x v="364"/>
    <n v="2.08"/>
    <x v="6"/>
    <x v="56"/>
    <x v="0"/>
    <x v="0"/>
    <x v="0"/>
    <x v="1"/>
    <x v="3"/>
    <x v="300"/>
    <x v="0"/>
    <x v="157"/>
  </r>
  <r>
    <x v="274"/>
    <x v="249"/>
    <x v="2"/>
    <x v="48"/>
    <x v="365"/>
    <x v="6"/>
    <x v="0"/>
    <x v="365"/>
    <n v="5.58"/>
    <x v="20"/>
    <x v="57"/>
    <x v="0"/>
    <x v="0"/>
    <x v="0"/>
    <x v="1"/>
    <x v="4"/>
    <x v="27"/>
    <x v="0"/>
    <x v="29"/>
  </r>
  <r>
    <x v="274"/>
    <x v="249"/>
    <x v="2"/>
    <x v="2"/>
    <x v="366"/>
    <x v="10"/>
    <x v="0"/>
    <x v="366"/>
    <n v="3.98"/>
    <x v="16"/>
    <x v="57"/>
    <x v="0"/>
    <x v="0"/>
    <x v="0"/>
    <x v="1"/>
    <x v="1"/>
    <x v="301"/>
    <x v="3"/>
    <x v="29"/>
  </r>
  <r>
    <x v="275"/>
    <x v="250"/>
    <x v="4"/>
    <x v="23"/>
    <x v="367"/>
    <x v="9"/>
    <x v="0"/>
    <x v="367"/>
    <n v="4.13"/>
    <x v="22"/>
    <x v="63"/>
    <x v="0"/>
    <x v="0"/>
    <x v="2"/>
    <x v="1"/>
    <x v="8"/>
    <x v="302"/>
    <x v="0"/>
    <x v="303"/>
  </r>
  <r>
    <x v="275"/>
    <x v="250"/>
    <x v="4"/>
    <x v="16"/>
    <x v="368"/>
    <x v="9"/>
    <x v="0"/>
    <x v="368"/>
    <n v="10.48"/>
    <x v="203"/>
    <x v="63"/>
    <x v="0"/>
    <x v="0"/>
    <x v="2"/>
    <x v="1"/>
    <x v="6"/>
    <x v="303"/>
    <x v="0"/>
    <x v="304"/>
  </r>
  <r>
    <x v="276"/>
    <x v="251"/>
    <x v="1"/>
    <x v="17"/>
    <x v="369"/>
    <x v="2"/>
    <x v="0"/>
    <x v="369"/>
    <n v="7.64"/>
    <x v="197"/>
    <x v="85"/>
    <x v="0"/>
    <x v="0"/>
    <x v="2"/>
    <x v="1"/>
    <x v="5"/>
    <x v="304"/>
    <x v="3"/>
    <x v="305"/>
  </r>
  <r>
    <x v="277"/>
    <x v="176"/>
    <x v="4"/>
    <x v="50"/>
    <x v="370"/>
    <x v="6"/>
    <x v="1"/>
    <x v="370"/>
    <n v="400.98"/>
    <x v="27"/>
    <x v="28"/>
    <x v="0"/>
    <x v="0"/>
    <x v="3"/>
    <x v="2"/>
    <x v="2"/>
    <x v="41"/>
    <x v="2"/>
    <x v="306"/>
  </r>
  <r>
    <x v="278"/>
    <x v="252"/>
    <x v="4"/>
    <x v="33"/>
    <x v="371"/>
    <x v="9"/>
    <x v="2"/>
    <x v="371"/>
    <n v="1.76"/>
    <x v="16"/>
    <x v="21"/>
    <x v="0"/>
    <x v="0"/>
    <x v="3"/>
    <x v="1"/>
    <x v="1"/>
    <x v="305"/>
    <x v="3"/>
    <x v="307"/>
  </r>
  <r>
    <x v="279"/>
    <x v="253"/>
    <x v="2"/>
    <x v="6"/>
    <x v="372"/>
    <x v="2"/>
    <x v="1"/>
    <x v="372"/>
    <n v="68.81"/>
    <x v="38"/>
    <x v="5"/>
    <x v="0"/>
    <x v="0"/>
    <x v="1"/>
    <x v="1"/>
    <x v="13"/>
    <x v="306"/>
    <x v="6"/>
    <x v="308"/>
  </r>
  <r>
    <x v="280"/>
    <x v="254"/>
    <x v="3"/>
    <x v="8"/>
    <x v="373"/>
    <x v="0"/>
    <x v="0"/>
    <x v="373"/>
    <n v="5.74"/>
    <x v="94"/>
    <x v="9"/>
    <x v="0"/>
    <x v="0"/>
    <x v="1"/>
    <x v="1"/>
    <x v="3"/>
    <x v="135"/>
    <x v="0"/>
    <x v="270"/>
  </r>
  <r>
    <x v="280"/>
    <x v="254"/>
    <x v="3"/>
    <x v="38"/>
    <x v="374"/>
    <x v="6"/>
    <x v="2"/>
    <x v="374"/>
    <n v="43.98"/>
    <x v="10"/>
    <x v="9"/>
    <x v="0"/>
    <x v="0"/>
    <x v="1"/>
    <x v="0"/>
    <x v="0"/>
    <x v="307"/>
    <x v="1"/>
    <x v="270"/>
  </r>
  <r>
    <x v="281"/>
    <x v="255"/>
    <x v="0"/>
    <x v="29"/>
    <x v="375"/>
    <x v="10"/>
    <x v="0"/>
    <x v="375"/>
    <n v="29.34"/>
    <x v="204"/>
    <x v="21"/>
    <x v="0"/>
    <x v="0"/>
    <x v="0"/>
    <x v="2"/>
    <x v="9"/>
    <x v="308"/>
    <x v="0"/>
    <x v="309"/>
  </r>
  <r>
    <x v="282"/>
    <x v="256"/>
    <x v="4"/>
    <x v="31"/>
    <x v="376"/>
    <x v="3"/>
    <x v="1"/>
    <x v="376"/>
    <n v="348.21"/>
    <x v="174"/>
    <x v="87"/>
    <x v="0"/>
    <x v="0"/>
    <x v="0"/>
    <x v="2"/>
    <x v="2"/>
    <x v="246"/>
    <x v="2"/>
    <x v="18"/>
  </r>
  <r>
    <x v="283"/>
    <x v="257"/>
    <x v="1"/>
    <x v="23"/>
    <x v="377"/>
    <x v="3"/>
    <x v="0"/>
    <x v="377"/>
    <n v="9.7100000000000009"/>
    <x v="205"/>
    <x v="55"/>
    <x v="0"/>
    <x v="0"/>
    <x v="0"/>
    <x v="1"/>
    <x v="6"/>
    <x v="309"/>
    <x v="0"/>
    <x v="310"/>
  </r>
  <r>
    <x v="284"/>
    <x v="258"/>
    <x v="2"/>
    <x v="32"/>
    <x v="378"/>
    <x v="0"/>
    <x v="0"/>
    <x v="378"/>
    <n v="115.99"/>
    <x v="36"/>
    <x v="21"/>
    <x v="0"/>
    <x v="0"/>
    <x v="3"/>
    <x v="0"/>
    <x v="7"/>
    <x v="51"/>
    <x v="0"/>
    <x v="311"/>
  </r>
  <r>
    <x v="285"/>
    <x v="259"/>
    <x v="3"/>
    <x v="17"/>
    <x v="379"/>
    <x v="7"/>
    <x v="0"/>
    <x v="379"/>
    <n v="31.78"/>
    <x v="10"/>
    <x v="21"/>
    <x v="0"/>
    <x v="0"/>
    <x v="3"/>
    <x v="0"/>
    <x v="0"/>
    <x v="273"/>
    <x v="1"/>
    <x v="312"/>
  </r>
  <r>
    <x v="285"/>
    <x v="259"/>
    <x v="3"/>
    <x v="15"/>
    <x v="380"/>
    <x v="7"/>
    <x v="0"/>
    <x v="380"/>
    <n v="4.9800000000000004"/>
    <x v="74"/>
    <x v="21"/>
    <x v="0"/>
    <x v="0"/>
    <x v="3"/>
    <x v="1"/>
    <x v="5"/>
    <x v="310"/>
    <x v="0"/>
    <x v="313"/>
  </r>
  <r>
    <x v="285"/>
    <x v="259"/>
    <x v="3"/>
    <x v="3"/>
    <x v="381"/>
    <x v="7"/>
    <x v="0"/>
    <x v="381"/>
    <n v="16.989999999999998"/>
    <x v="1"/>
    <x v="21"/>
    <x v="0"/>
    <x v="0"/>
    <x v="3"/>
    <x v="1"/>
    <x v="1"/>
    <x v="311"/>
    <x v="1"/>
    <x v="312"/>
  </r>
  <r>
    <x v="285"/>
    <x v="259"/>
    <x v="3"/>
    <x v="45"/>
    <x v="382"/>
    <x v="2"/>
    <x v="0"/>
    <x v="382"/>
    <n v="209.37"/>
    <x v="105"/>
    <x v="21"/>
    <x v="0"/>
    <x v="0"/>
    <x v="3"/>
    <x v="2"/>
    <x v="2"/>
    <x v="312"/>
    <x v="5"/>
    <x v="314"/>
  </r>
  <r>
    <x v="286"/>
    <x v="260"/>
    <x v="4"/>
    <x v="18"/>
    <x v="383"/>
    <x v="1"/>
    <x v="0"/>
    <x v="383"/>
    <n v="59.98"/>
    <x v="193"/>
    <x v="6"/>
    <x v="0"/>
    <x v="0"/>
    <x v="0"/>
    <x v="1"/>
    <x v="13"/>
    <x v="313"/>
    <x v="0"/>
    <x v="315"/>
  </r>
  <r>
    <x v="287"/>
    <x v="261"/>
    <x v="3"/>
    <x v="0"/>
    <x v="384"/>
    <x v="1"/>
    <x v="1"/>
    <x v="384"/>
    <n v="100.89"/>
    <x v="69"/>
    <x v="68"/>
    <x v="0"/>
    <x v="0"/>
    <x v="1"/>
    <x v="2"/>
    <x v="14"/>
    <x v="314"/>
    <x v="6"/>
    <x v="316"/>
  </r>
  <r>
    <x v="288"/>
    <x v="262"/>
    <x v="2"/>
    <x v="8"/>
    <x v="385"/>
    <x v="7"/>
    <x v="0"/>
    <x v="385"/>
    <n v="8.33"/>
    <x v="10"/>
    <x v="29"/>
    <x v="0"/>
    <x v="0"/>
    <x v="0"/>
    <x v="0"/>
    <x v="0"/>
    <x v="315"/>
    <x v="1"/>
    <x v="317"/>
  </r>
  <r>
    <x v="288"/>
    <x v="262"/>
    <x v="2"/>
    <x v="36"/>
    <x v="386"/>
    <x v="7"/>
    <x v="0"/>
    <x v="386"/>
    <n v="111.03"/>
    <x v="206"/>
    <x v="29"/>
    <x v="0"/>
    <x v="0"/>
    <x v="0"/>
    <x v="1"/>
    <x v="6"/>
    <x v="316"/>
    <x v="0"/>
    <x v="318"/>
  </r>
  <r>
    <x v="289"/>
    <x v="263"/>
    <x v="3"/>
    <x v="35"/>
    <x v="387"/>
    <x v="8"/>
    <x v="0"/>
    <x v="387"/>
    <n v="10.98"/>
    <x v="193"/>
    <x v="88"/>
    <x v="0"/>
    <x v="0"/>
    <x v="0"/>
    <x v="1"/>
    <x v="13"/>
    <x v="281"/>
    <x v="0"/>
    <x v="319"/>
  </r>
  <r>
    <x v="289"/>
    <x v="263"/>
    <x v="3"/>
    <x v="39"/>
    <x v="388"/>
    <x v="6"/>
    <x v="0"/>
    <x v="388"/>
    <n v="39.979999999999997"/>
    <x v="113"/>
    <x v="88"/>
    <x v="1"/>
    <x v="1"/>
    <x v="0"/>
    <x v="2"/>
    <x v="9"/>
    <x v="163"/>
    <x v="3"/>
    <x v="320"/>
  </r>
  <r>
    <x v="290"/>
    <x v="69"/>
    <x v="0"/>
    <x v="35"/>
    <x v="389"/>
    <x v="6"/>
    <x v="0"/>
    <x v="389"/>
    <n v="5.38"/>
    <x v="207"/>
    <x v="31"/>
    <x v="1"/>
    <x v="1"/>
    <x v="1"/>
    <x v="1"/>
    <x v="3"/>
    <x v="317"/>
    <x v="0"/>
    <x v="321"/>
  </r>
  <r>
    <x v="290"/>
    <x v="69"/>
    <x v="0"/>
    <x v="32"/>
    <x v="390"/>
    <x v="4"/>
    <x v="0"/>
    <x v="390"/>
    <n v="3.28"/>
    <x v="181"/>
    <x v="31"/>
    <x v="1"/>
    <x v="1"/>
    <x v="1"/>
    <x v="1"/>
    <x v="1"/>
    <x v="318"/>
    <x v="3"/>
    <x v="322"/>
  </r>
  <r>
    <x v="291"/>
    <x v="23"/>
    <x v="0"/>
    <x v="17"/>
    <x v="391"/>
    <x v="1"/>
    <x v="0"/>
    <x v="391"/>
    <n v="12.28"/>
    <x v="208"/>
    <x v="91"/>
    <x v="1"/>
    <x v="1"/>
    <x v="3"/>
    <x v="1"/>
    <x v="5"/>
    <x v="319"/>
    <x v="0"/>
    <x v="323"/>
  </r>
  <r>
    <x v="292"/>
    <x v="264"/>
    <x v="2"/>
    <x v="20"/>
    <x v="392"/>
    <x v="0"/>
    <x v="0"/>
    <x v="392"/>
    <n v="6.48"/>
    <x v="65"/>
    <x v="56"/>
    <x v="1"/>
    <x v="1"/>
    <x v="2"/>
    <x v="1"/>
    <x v="5"/>
    <x v="320"/>
    <x v="0"/>
    <x v="324"/>
  </r>
  <r>
    <x v="292"/>
    <x v="264"/>
    <x v="2"/>
    <x v="30"/>
    <x v="393"/>
    <x v="6"/>
    <x v="1"/>
    <x v="393"/>
    <n v="2036.48"/>
    <x v="121"/>
    <x v="56"/>
    <x v="1"/>
    <x v="1"/>
    <x v="2"/>
    <x v="0"/>
    <x v="15"/>
    <x v="193"/>
    <x v="6"/>
    <x v="325"/>
  </r>
  <r>
    <x v="293"/>
    <x v="265"/>
    <x v="4"/>
    <x v="31"/>
    <x v="394"/>
    <x v="6"/>
    <x v="0"/>
    <x v="394"/>
    <n v="12.99"/>
    <x v="133"/>
    <x v="92"/>
    <x v="1"/>
    <x v="1"/>
    <x v="1"/>
    <x v="2"/>
    <x v="9"/>
    <x v="188"/>
    <x v="5"/>
    <x v="326"/>
  </r>
  <r>
    <x v="293"/>
    <x v="265"/>
    <x v="4"/>
    <x v="30"/>
    <x v="395"/>
    <x v="9"/>
    <x v="0"/>
    <x v="395"/>
    <n v="15.14"/>
    <x v="209"/>
    <x v="92"/>
    <x v="1"/>
    <x v="1"/>
    <x v="1"/>
    <x v="1"/>
    <x v="6"/>
    <x v="321"/>
    <x v="0"/>
    <x v="327"/>
  </r>
  <r>
    <x v="294"/>
    <x v="29"/>
    <x v="1"/>
    <x v="4"/>
    <x v="396"/>
    <x v="4"/>
    <x v="1"/>
    <x v="396"/>
    <n v="68.81"/>
    <x v="38"/>
    <x v="93"/>
    <x v="1"/>
    <x v="1"/>
    <x v="3"/>
    <x v="1"/>
    <x v="13"/>
    <x v="306"/>
    <x v="6"/>
    <x v="37"/>
  </r>
  <r>
    <x v="294"/>
    <x v="29"/>
    <x v="1"/>
    <x v="21"/>
    <x v="397"/>
    <x v="10"/>
    <x v="0"/>
    <x v="397"/>
    <n v="6.84"/>
    <x v="210"/>
    <x v="93"/>
    <x v="1"/>
    <x v="1"/>
    <x v="3"/>
    <x v="1"/>
    <x v="16"/>
    <x v="322"/>
    <x v="1"/>
    <x v="37"/>
  </r>
  <r>
    <x v="295"/>
    <x v="266"/>
    <x v="3"/>
    <x v="46"/>
    <x v="398"/>
    <x v="4"/>
    <x v="0"/>
    <x v="398"/>
    <n v="599.99"/>
    <x v="37"/>
    <x v="42"/>
    <x v="1"/>
    <x v="1"/>
    <x v="0"/>
    <x v="0"/>
    <x v="12"/>
    <x v="156"/>
    <x v="5"/>
    <x v="328"/>
  </r>
  <r>
    <x v="296"/>
    <x v="267"/>
    <x v="0"/>
    <x v="28"/>
    <x v="399"/>
    <x v="6"/>
    <x v="0"/>
    <x v="399"/>
    <n v="159.99"/>
    <x v="128"/>
    <x v="82"/>
    <x v="1"/>
    <x v="1"/>
    <x v="2"/>
    <x v="0"/>
    <x v="0"/>
    <x v="323"/>
    <x v="0"/>
    <x v="329"/>
  </r>
  <r>
    <x v="296"/>
    <x v="267"/>
    <x v="0"/>
    <x v="10"/>
    <x v="400"/>
    <x v="8"/>
    <x v="0"/>
    <x v="400"/>
    <n v="78.69"/>
    <x v="0"/>
    <x v="82"/>
    <x v="1"/>
    <x v="1"/>
    <x v="2"/>
    <x v="2"/>
    <x v="9"/>
    <x v="324"/>
    <x v="0"/>
    <x v="330"/>
  </r>
  <r>
    <x v="297"/>
    <x v="268"/>
    <x v="2"/>
    <x v="26"/>
    <x v="401"/>
    <x v="6"/>
    <x v="2"/>
    <x v="401"/>
    <n v="128.24"/>
    <x v="211"/>
    <x v="84"/>
    <x v="1"/>
    <x v="1"/>
    <x v="1"/>
    <x v="2"/>
    <x v="14"/>
    <x v="325"/>
    <x v="4"/>
    <x v="331"/>
  </r>
  <r>
    <x v="297"/>
    <x v="268"/>
    <x v="2"/>
    <x v="27"/>
    <x v="402"/>
    <x v="7"/>
    <x v="0"/>
    <x v="402"/>
    <n v="6.3"/>
    <x v="14"/>
    <x v="84"/>
    <x v="1"/>
    <x v="1"/>
    <x v="1"/>
    <x v="1"/>
    <x v="8"/>
    <x v="326"/>
    <x v="0"/>
    <x v="332"/>
  </r>
  <r>
    <x v="298"/>
    <x v="269"/>
    <x v="4"/>
    <x v="25"/>
    <x v="403"/>
    <x v="4"/>
    <x v="0"/>
    <x v="403"/>
    <n v="22.38"/>
    <x v="212"/>
    <x v="73"/>
    <x v="1"/>
    <x v="1"/>
    <x v="3"/>
    <x v="1"/>
    <x v="3"/>
    <x v="327"/>
    <x v="0"/>
    <x v="333"/>
  </r>
  <r>
    <x v="298"/>
    <x v="269"/>
    <x v="4"/>
    <x v="28"/>
    <x v="404"/>
    <x v="8"/>
    <x v="1"/>
    <x v="404"/>
    <n v="60.98"/>
    <x v="147"/>
    <x v="73"/>
    <x v="1"/>
    <x v="1"/>
    <x v="3"/>
    <x v="2"/>
    <x v="14"/>
    <x v="328"/>
    <x v="6"/>
    <x v="334"/>
  </r>
  <r>
    <x v="298"/>
    <x v="269"/>
    <x v="4"/>
    <x v="24"/>
    <x v="405"/>
    <x v="9"/>
    <x v="0"/>
    <x v="405"/>
    <n v="2.88"/>
    <x v="16"/>
    <x v="73"/>
    <x v="1"/>
    <x v="1"/>
    <x v="3"/>
    <x v="1"/>
    <x v="1"/>
    <x v="329"/>
    <x v="3"/>
    <x v="333"/>
  </r>
  <r>
    <x v="299"/>
    <x v="270"/>
    <x v="1"/>
    <x v="3"/>
    <x v="406"/>
    <x v="1"/>
    <x v="0"/>
    <x v="406"/>
    <n v="4.4800000000000004"/>
    <x v="172"/>
    <x v="85"/>
    <x v="1"/>
    <x v="1"/>
    <x v="2"/>
    <x v="1"/>
    <x v="13"/>
    <x v="242"/>
    <x v="5"/>
    <x v="335"/>
  </r>
  <r>
    <x v="299"/>
    <x v="270"/>
    <x v="1"/>
    <x v="25"/>
    <x v="407"/>
    <x v="10"/>
    <x v="0"/>
    <x v="407"/>
    <n v="2.16"/>
    <x v="213"/>
    <x v="85"/>
    <x v="1"/>
    <x v="1"/>
    <x v="2"/>
    <x v="1"/>
    <x v="3"/>
    <x v="330"/>
    <x v="0"/>
    <x v="336"/>
  </r>
  <r>
    <x v="299"/>
    <x v="270"/>
    <x v="1"/>
    <x v="8"/>
    <x v="408"/>
    <x v="10"/>
    <x v="0"/>
    <x v="408"/>
    <n v="9.7100000000000009"/>
    <x v="205"/>
    <x v="85"/>
    <x v="1"/>
    <x v="1"/>
    <x v="2"/>
    <x v="1"/>
    <x v="6"/>
    <x v="309"/>
    <x v="0"/>
    <x v="337"/>
  </r>
  <r>
    <x v="299"/>
    <x v="270"/>
    <x v="1"/>
    <x v="31"/>
    <x v="409"/>
    <x v="3"/>
    <x v="0"/>
    <x v="409"/>
    <n v="55.99"/>
    <x v="106"/>
    <x v="85"/>
    <x v="1"/>
    <x v="1"/>
    <x v="2"/>
    <x v="0"/>
    <x v="7"/>
    <x v="331"/>
    <x v="1"/>
    <x v="335"/>
  </r>
  <r>
    <x v="300"/>
    <x v="271"/>
    <x v="3"/>
    <x v="25"/>
    <x v="410"/>
    <x v="0"/>
    <x v="1"/>
    <x v="410"/>
    <n v="100.98"/>
    <x v="214"/>
    <x v="64"/>
    <x v="1"/>
    <x v="1"/>
    <x v="1"/>
    <x v="2"/>
    <x v="10"/>
    <x v="332"/>
    <x v="2"/>
    <x v="196"/>
  </r>
  <r>
    <x v="300"/>
    <x v="271"/>
    <x v="3"/>
    <x v="46"/>
    <x v="411"/>
    <x v="6"/>
    <x v="1"/>
    <x v="411"/>
    <n v="70.98"/>
    <x v="215"/>
    <x v="64"/>
    <x v="1"/>
    <x v="1"/>
    <x v="1"/>
    <x v="2"/>
    <x v="10"/>
    <x v="333"/>
    <x v="2"/>
    <x v="196"/>
  </r>
  <r>
    <x v="300"/>
    <x v="271"/>
    <x v="3"/>
    <x v="40"/>
    <x v="412"/>
    <x v="4"/>
    <x v="0"/>
    <x v="412"/>
    <n v="182.55"/>
    <x v="105"/>
    <x v="64"/>
    <x v="1"/>
    <x v="1"/>
    <x v="1"/>
    <x v="2"/>
    <x v="2"/>
    <x v="334"/>
    <x v="5"/>
    <x v="338"/>
  </r>
  <r>
    <x v="301"/>
    <x v="272"/>
    <x v="1"/>
    <x v="0"/>
    <x v="413"/>
    <x v="5"/>
    <x v="0"/>
    <x v="413"/>
    <n v="5.4"/>
    <x v="216"/>
    <x v="52"/>
    <x v="1"/>
    <x v="1"/>
    <x v="0"/>
    <x v="1"/>
    <x v="3"/>
    <x v="335"/>
    <x v="0"/>
    <x v="339"/>
  </r>
  <r>
    <x v="302"/>
    <x v="273"/>
    <x v="1"/>
    <x v="29"/>
    <x v="414"/>
    <x v="7"/>
    <x v="0"/>
    <x v="414"/>
    <n v="27.48"/>
    <x v="13"/>
    <x v="18"/>
    <x v="1"/>
    <x v="1"/>
    <x v="1"/>
    <x v="0"/>
    <x v="0"/>
    <x v="243"/>
    <x v="0"/>
    <x v="340"/>
  </r>
  <r>
    <x v="303"/>
    <x v="274"/>
    <x v="0"/>
    <x v="7"/>
    <x v="415"/>
    <x v="2"/>
    <x v="2"/>
    <x v="415"/>
    <n v="2.89"/>
    <x v="14"/>
    <x v="6"/>
    <x v="1"/>
    <x v="1"/>
    <x v="0"/>
    <x v="1"/>
    <x v="8"/>
    <x v="336"/>
    <x v="0"/>
    <x v="272"/>
  </r>
  <r>
    <x v="304"/>
    <x v="275"/>
    <x v="3"/>
    <x v="10"/>
    <x v="416"/>
    <x v="4"/>
    <x v="0"/>
    <x v="416"/>
    <n v="65.989999999999995"/>
    <x v="137"/>
    <x v="86"/>
    <x v="1"/>
    <x v="1"/>
    <x v="1"/>
    <x v="0"/>
    <x v="7"/>
    <x v="192"/>
    <x v="0"/>
    <x v="86"/>
  </r>
  <r>
    <x v="305"/>
    <x v="276"/>
    <x v="0"/>
    <x v="19"/>
    <x v="417"/>
    <x v="4"/>
    <x v="1"/>
    <x v="417"/>
    <n v="500.98"/>
    <x v="217"/>
    <x v="74"/>
    <x v="1"/>
    <x v="1"/>
    <x v="2"/>
    <x v="0"/>
    <x v="15"/>
    <x v="337"/>
    <x v="6"/>
    <x v="341"/>
  </r>
  <r>
    <x v="306"/>
    <x v="277"/>
    <x v="1"/>
    <x v="36"/>
    <x v="418"/>
    <x v="0"/>
    <x v="0"/>
    <x v="418"/>
    <n v="65.989999999999995"/>
    <x v="193"/>
    <x v="5"/>
    <x v="1"/>
    <x v="1"/>
    <x v="1"/>
    <x v="0"/>
    <x v="7"/>
    <x v="338"/>
    <x v="0"/>
    <x v="342"/>
  </r>
  <r>
    <x v="307"/>
    <x v="278"/>
    <x v="1"/>
    <x v="0"/>
    <x v="419"/>
    <x v="1"/>
    <x v="0"/>
    <x v="419"/>
    <n v="8.75"/>
    <x v="218"/>
    <x v="78"/>
    <x v="1"/>
    <x v="1"/>
    <x v="3"/>
    <x v="2"/>
    <x v="9"/>
    <x v="339"/>
    <x v="1"/>
    <x v="343"/>
  </r>
  <r>
    <x v="307"/>
    <x v="278"/>
    <x v="1"/>
    <x v="49"/>
    <x v="420"/>
    <x v="5"/>
    <x v="2"/>
    <x v="420"/>
    <n v="7.28"/>
    <x v="219"/>
    <x v="78"/>
    <x v="1"/>
    <x v="1"/>
    <x v="3"/>
    <x v="1"/>
    <x v="5"/>
    <x v="340"/>
    <x v="0"/>
    <x v="344"/>
  </r>
  <r>
    <x v="307"/>
    <x v="278"/>
    <x v="1"/>
    <x v="3"/>
    <x v="421"/>
    <x v="9"/>
    <x v="0"/>
    <x v="421"/>
    <n v="35.479999999999997"/>
    <x v="66"/>
    <x v="78"/>
    <x v="1"/>
    <x v="1"/>
    <x v="3"/>
    <x v="1"/>
    <x v="6"/>
    <x v="341"/>
    <x v="5"/>
    <x v="343"/>
  </r>
  <r>
    <x v="308"/>
    <x v="191"/>
    <x v="0"/>
    <x v="15"/>
    <x v="422"/>
    <x v="8"/>
    <x v="1"/>
    <x v="422"/>
    <n v="349.45"/>
    <x v="38"/>
    <x v="53"/>
    <x v="1"/>
    <x v="1"/>
    <x v="2"/>
    <x v="2"/>
    <x v="2"/>
    <x v="342"/>
    <x v="6"/>
    <x v="308"/>
  </r>
  <r>
    <x v="309"/>
    <x v="279"/>
    <x v="4"/>
    <x v="6"/>
    <x v="423"/>
    <x v="9"/>
    <x v="0"/>
    <x v="423"/>
    <n v="4.71"/>
    <x v="16"/>
    <x v="35"/>
    <x v="1"/>
    <x v="1"/>
    <x v="3"/>
    <x v="1"/>
    <x v="11"/>
    <x v="343"/>
    <x v="3"/>
    <x v="345"/>
  </r>
  <r>
    <x v="310"/>
    <x v="280"/>
    <x v="4"/>
    <x v="21"/>
    <x v="424"/>
    <x v="0"/>
    <x v="2"/>
    <x v="424"/>
    <n v="125.99"/>
    <x v="29"/>
    <x v="21"/>
    <x v="1"/>
    <x v="1"/>
    <x v="3"/>
    <x v="0"/>
    <x v="7"/>
    <x v="344"/>
    <x v="0"/>
    <x v="346"/>
  </r>
  <r>
    <x v="311"/>
    <x v="281"/>
    <x v="0"/>
    <x v="5"/>
    <x v="425"/>
    <x v="6"/>
    <x v="0"/>
    <x v="425"/>
    <n v="18.649999999999999"/>
    <x v="220"/>
    <x v="55"/>
    <x v="1"/>
    <x v="1"/>
    <x v="0"/>
    <x v="2"/>
    <x v="9"/>
    <x v="345"/>
    <x v="1"/>
    <x v="290"/>
  </r>
  <r>
    <x v="311"/>
    <x v="281"/>
    <x v="0"/>
    <x v="13"/>
    <x v="426"/>
    <x v="7"/>
    <x v="2"/>
    <x v="426"/>
    <n v="34.76"/>
    <x v="129"/>
    <x v="55"/>
    <x v="1"/>
    <x v="1"/>
    <x v="0"/>
    <x v="1"/>
    <x v="6"/>
    <x v="184"/>
    <x v="0"/>
    <x v="290"/>
  </r>
  <r>
    <x v="311"/>
    <x v="281"/>
    <x v="0"/>
    <x v="19"/>
    <x v="427"/>
    <x v="6"/>
    <x v="0"/>
    <x v="427"/>
    <n v="46.89"/>
    <x v="221"/>
    <x v="55"/>
    <x v="1"/>
    <x v="1"/>
    <x v="0"/>
    <x v="1"/>
    <x v="13"/>
    <x v="346"/>
    <x v="4"/>
    <x v="290"/>
  </r>
  <r>
    <x v="312"/>
    <x v="282"/>
    <x v="4"/>
    <x v="49"/>
    <x v="428"/>
    <x v="3"/>
    <x v="2"/>
    <x v="428"/>
    <n v="18.97"/>
    <x v="222"/>
    <x v="93"/>
    <x v="1"/>
    <x v="1"/>
    <x v="3"/>
    <x v="1"/>
    <x v="5"/>
    <x v="347"/>
    <x v="0"/>
    <x v="347"/>
  </r>
  <r>
    <x v="312"/>
    <x v="282"/>
    <x v="4"/>
    <x v="38"/>
    <x v="429"/>
    <x v="2"/>
    <x v="0"/>
    <x v="429"/>
    <n v="8.34"/>
    <x v="223"/>
    <x v="93"/>
    <x v="1"/>
    <x v="1"/>
    <x v="3"/>
    <x v="1"/>
    <x v="5"/>
    <x v="348"/>
    <x v="0"/>
    <x v="347"/>
  </r>
  <r>
    <x v="313"/>
    <x v="283"/>
    <x v="2"/>
    <x v="22"/>
    <x v="430"/>
    <x v="10"/>
    <x v="0"/>
    <x v="430"/>
    <n v="4.82"/>
    <x v="224"/>
    <x v="46"/>
    <x v="1"/>
    <x v="1"/>
    <x v="2"/>
    <x v="2"/>
    <x v="9"/>
    <x v="349"/>
    <x v="1"/>
    <x v="348"/>
  </r>
  <r>
    <x v="314"/>
    <x v="284"/>
    <x v="4"/>
    <x v="9"/>
    <x v="431"/>
    <x v="6"/>
    <x v="0"/>
    <x v="431"/>
    <n v="4.28"/>
    <x v="225"/>
    <x v="83"/>
    <x v="1"/>
    <x v="1"/>
    <x v="2"/>
    <x v="1"/>
    <x v="1"/>
    <x v="350"/>
    <x v="3"/>
    <x v="254"/>
  </r>
  <r>
    <x v="315"/>
    <x v="180"/>
    <x v="1"/>
    <x v="35"/>
    <x v="432"/>
    <x v="1"/>
    <x v="0"/>
    <x v="432"/>
    <n v="29.18"/>
    <x v="226"/>
    <x v="42"/>
    <x v="1"/>
    <x v="1"/>
    <x v="3"/>
    <x v="2"/>
    <x v="9"/>
    <x v="351"/>
    <x v="0"/>
    <x v="222"/>
  </r>
  <r>
    <x v="316"/>
    <x v="285"/>
    <x v="0"/>
    <x v="9"/>
    <x v="433"/>
    <x v="4"/>
    <x v="1"/>
    <x v="433"/>
    <n v="280.98"/>
    <x v="227"/>
    <x v="94"/>
    <x v="1"/>
    <x v="1"/>
    <x v="0"/>
    <x v="2"/>
    <x v="14"/>
    <x v="352"/>
    <x v="6"/>
    <x v="349"/>
  </r>
  <r>
    <x v="316"/>
    <x v="285"/>
    <x v="0"/>
    <x v="24"/>
    <x v="434"/>
    <x v="3"/>
    <x v="0"/>
    <x v="434"/>
    <n v="14.03"/>
    <x v="228"/>
    <x v="94"/>
    <x v="1"/>
    <x v="1"/>
    <x v="0"/>
    <x v="1"/>
    <x v="6"/>
    <x v="353"/>
    <x v="0"/>
    <x v="350"/>
  </r>
  <r>
    <x v="317"/>
    <x v="29"/>
    <x v="0"/>
    <x v="37"/>
    <x v="435"/>
    <x v="4"/>
    <x v="0"/>
    <x v="435"/>
    <n v="6.23"/>
    <x v="165"/>
    <x v="79"/>
    <x v="1"/>
    <x v="1"/>
    <x v="0"/>
    <x v="1"/>
    <x v="3"/>
    <x v="294"/>
    <x v="0"/>
    <x v="37"/>
  </r>
  <r>
    <x v="318"/>
    <x v="286"/>
    <x v="0"/>
    <x v="42"/>
    <x v="436"/>
    <x v="7"/>
    <x v="2"/>
    <x v="436"/>
    <n v="4.9800000000000004"/>
    <x v="141"/>
    <x v="95"/>
    <x v="1"/>
    <x v="1"/>
    <x v="1"/>
    <x v="0"/>
    <x v="0"/>
    <x v="354"/>
    <x v="1"/>
    <x v="161"/>
  </r>
  <r>
    <x v="319"/>
    <x v="287"/>
    <x v="1"/>
    <x v="38"/>
    <x v="437"/>
    <x v="5"/>
    <x v="2"/>
    <x v="437"/>
    <n v="165.2"/>
    <x v="0"/>
    <x v="10"/>
    <x v="1"/>
    <x v="1"/>
    <x v="1"/>
    <x v="1"/>
    <x v="6"/>
    <x v="22"/>
    <x v="0"/>
    <x v="351"/>
  </r>
  <r>
    <x v="320"/>
    <x v="288"/>
    <x v="1"/>
    <x v="18"/>
    <x v="438"/>
    <x v="0"/>
    <x v="0"/>
    <x v="438"/>
    <n v="19.84"/>
    <x v="45"/>
    <x v="0"/>
    <x v="1"/>
    <x v="1"/>
    <x v="3"/>
    <x v="1"/>
    <x v="1"/>
    <x v="355"/>
    <x v="3"/>
    <x v="136"/>
  </r>
  <r>
    <x v="321"/>
    <x v="289"/>
    <x v="3"/>
    <x v="19"/>
    <x v="439"/>
    <x v="2"/>
    <x v="2"/>
    <x v="439"/>
    <n v="205.99"/>
    <x v="1"/>
    <x v="19"/>
    <x v="1"/>
    <x v="1"/>
    <x v="3"/>
    <x v="0"/>
    <x v="7"/>
    <x v="355"/>
    <x v="0"/>
    <x v="352"/>
  </r>
  <r>
    <x v="322"/>
    <x v="290"/>
    <x v="0"/>
    <x v="5"/>
    <x v="440"/>
    <x v="0"/>
    <x v="0"/>
    <x v="440"/>
    <n v="4.9800000000000004"/>
    <x v="229"/>
    <x v="16"/>
    <x v="1"/>
    <x v="1"/>
    <x v="2"/>
    <x v="0"/>
    <x v="0"/>
    <x v="355"/>
    <x v="1"/>
    <x v="353"/>
  </r>
  <r>
    <x v="323"/>
    <x v="291"/>
    <x v="4"/>
    <x v="34"/>
    <x v="441"/>
    <x v="6"/>
    <x v="1"/>
    <x v="441"/>
    <n v="100.98"/>
    <x v="230"/>
    <x v="16"/>
    <x v="1"/>
    <x v="1"/>
    <x v="2"/>
    <x v="2"/>
    <x v="14"/>
    <x v="355"/>
    <x v="6"/>
    <x v="354"/>
  </r>
  <r>
    <x v="323"/>
    <x v="291"/>
    <x v="4"/>
    <x v="43"/>
    <x v="442"/>
    <x v="1"/>
    <x v="0"/>
    <x v="442"/>
    <n v="3.75"/>
    <x v="14"/>
    <x v="16"/>
    <x v="1"/>
    <x v="1"/>
    <x v="2"/>
    <x v="1"/>
    <x v="8"/>
    <x v="355"/>
    <x v="0"/>
    <x v="354"/>
  </r>
  <r>
    <x v="324"/>
    <x v="292"/>
    <x v="1"/>
    <x v="37"/>
    <x v="443"/>
    <x v="6"/>
    <x v="0"/>
    <x v="443"/>
    <n v="7.89"/>
    <x v="231"/>
    <x v="16"/>
    <x v="1"/>
    <x v="1"/>
    <x v="2"/>
    <x v="1"/>
    <x v="11"/>
    <x v="355"/>
    <x v="3"/>
    <x v="355"/>
  </r>
  <r>
    <x v="324"/>
    <x v="292"/>
    <x v="1"/>
    <x v="40"/>
    <x v="444"/>
    <x v="3"/>
    <x v="0"/>
    <x v="444"/>
    <n v="3.68"/>
    <x v="232"/>
    <x v="16"/>
    <x v="1"/>
    <x v="1"/>
    <x v="2"/>
    <x v="1"/>
    <x v="16"/>
    <x v="355"/>
    <x v="3"/>
    <x v="355"/>
  </r>
  <r>
    <x v="324"/>
    <x v="292"/>
    <x v="1"/>
    <x v="25"/>
    <x v="445"/>
    <x v="8"/>
    <x v="0"/>
    <x v="445"/>
    <n v="9.7100000000000009"/>
    <x v="205"/>
    <x v="16"/>
    <x v="1"/>
    <x v="1"/>
    <x v="2"/>
    <x v="1"/>
    <x v="6"/>
    <x v="355"/>
    <x v="0"/>
    <x v="356"/>
  </r>
  <r>
    <x v="325"/>
    <x v="293"/>
    <x v="0"/>
    <x v="0"/>
    <x v="446"/>
    <x v="9"/>
    <x v="0"/>
    <x v="446"/>
    <n v="99.99"/>
    <x v="0"/>
    <x v="96"/>
    <x v="1"/>
    <x v="1"/>
    <x v="2"/>
    <x v="0"/>
    <x v="0"/>
    <x v="355"/>
    <x v="0"/>
    <x v="357"/>
  </r>
  <r>
    <x v="325"/>
    <x v="293"/>
    <x v="0"/>
    <x v="0"/>
    <x v="447"/>
    <x v="5"/>
    <x v="0"/>
    <x v="447"/>
    <n v="3.28"/>
    <x v="233"/>
    <x v="96"/>
    <x v="1"/>
    <x v="1"/>
    <x v="2"/>
    <x v="1"/>
    <x v="1"/>
    <x v="355"/>
    <x v="7"/>
    <x v="357"/>
  </r>
  <r>
    <x v="326"/>
    <x v="294"/>
    <x v="3"/>
    <x v="22"/>
    <x v="448"/>
    <x v="3"/>
    <x v="0"/>
    <x v="448"/>
    <n v="12.97"/>
    <x v="6"/>
    <x v="97"/>
    <x v="1"/>
    <x v="1"/>
    <x v="1"/>
    <x v="1"/>
    <x v="3"/>
    <x v="355"/>
    <x v="7"/>
    <x v="358"/>
  </r>
  <r>
    <x v="326"/>
    <x v="294"/>
    <x v="3"/>
    <x v="23"/>
    <x v="449"/>
    <x v="7"/>
    <x v="2"/>
    <x v="449"/>
    <n v="2.12"/>
    <x v="10"/>
    <x v="97"/>
    <x v="1"/>
    <x v="1"/>
    <x v="1"/>
    <x v="3"/>
    <x v="0"/>
    <x v="355"/>
    <x v="7"/>
    <x v="359"/>
  </r>
  <r>
    <x v="327"/>
    <x v="295"/>
    <x v="4"/>
    <x v="22"/>
    <x v="450"/>
    <x v="1"/>
    <x v="0"/>
    <x v="450"/>
    <n v="387.99"/>
    <x v="0"/>
    <x v="42"/>
    <x v="1"/>
    <x v="1"/>
    <x v="0"/>
    <x v="3"/>
    <x v="3"/>
    <x v="355"/>
    <x v="7"/>
    <x v="360"/>
  </r>
  <r>
    <x v="328"/>
    <x v="296"/>
    <x v="1"/>
    <x v="37"/>
    <x v="451"/>
    <x v="7"/>
    <x v="2"/>
    <x v="451"/>
    <n v="276.2"/>
    <x v="37"/>
    <x v="87"/>
    <x v="1"/>
    <x v="1"/>
    <x v="0"/>
    <x v="3"/>
    <x v="14"/>
    <x v="356"/>
    <x v="7"/>
    <x v="361"/>
  </r>
  <r>
    <x v="328"/>
    <x v="296"/>
    <x v="1"/>
    <x v="40"/>
    <x v="452"/>
    <x v="3"/>
    <x v="0"/>
    <x v="452"/>
    <n v="2.88"/>
    <x v="16"/>
    <x v="87"/>
    <x v="1"/>
    <x v="1"/>
    <x v="0"/>
    <x v="3"/>
    <x v="1"/>
    <x v="357"/>
    <x v="7"/>
    <x v="361"/>
  </r>
  <r>
    <x v="329"/>
    <x v="170"/>
    <x v="1"/>
    <x v="31"/>
    <x v="453"/>
    <x v="10"/>
    <x v="0"/>
    <x v="453"/>
    <n v="35.94"/>
    <x v="234"/>
    <x v="33"/>
    <x v="1"/>
    <x v="1"/>
    <x v="0"/>
    <x v="3"/>
    <x v="4"/>
    <x v="358"/>
    <x v="7"/>
    <x v="127"/>
  </r>
  <r>
    <x v="330"/>
    <x v="297"/>
    <x v="3"/>
    <x v="14"/>
    <x v="454"/>
    <x v="8"/>
    <x v="0"/>
    <x v="454"/>
    <n v="2.1800000000000002"/>
    <x v="64"/>
    <x v="20"/>
    <x v="1"/>
    <x v="1"/>
    <x v="1"/>
    <x v="3"/>
    <x v="16"/>
    <x v="359"/>
    <x v="7"/>
    <x v="362"/>
  </r>
  <r>
    <x v="331"/>
    <x v="298"/>
    <x v="3"/>
    <x v="48"/>
    <x v="455"/>
    <x v="10"/>
    <x v="0"/>
    <x v="455"/>
    <n v="16.98"/>
    <x v="131"/>
    <x v="19"/>
    <x v="1"/>
    <x v="1"/>
    <x v="3"/>
    <x v="3"/>
    <x v="4"/>
    <x v="360"/>
    <x v="7"/>
    <x v="363"/>
  </r>
  <r>
    <x v="331"/>
    <x v="298"/>
    <x v="3"/>
    <x v="39"/>
    <x v="456"/>
    <x v="10"/>
    <x v="2"/>
    <x v="456"/>
    <n v="225.04"/>
    <x v="235"/>
    <x v="19"/>
    <x v="1"/>
    <x v="1"/>
    <x v="3"/>
    <x v="3"/>
    <x v="13"/>
    <x v="361"/>
    <x v="7"/>
    <x v="363"/>
  </r>
  <r>
    <x v="331"/>
    <x v="298"/>
    <x v="3"/>
    <x v="14"/>
    <x v="457"/>
    <x v="4"/>
    <x v="0"/>
    <x v="457"/>
    <n v="9.49"/>
    <x v="236"/>
    <x v="19"/>
    <x v="1"/>
    <x v="1"/>
    <x v="3"/>
    <x v="3"/>
    <x v="15"/>
    <x v="362"/>
    <x v="7"/>
    <x v="364"/>
  </r>
  <r>
    <x v="332"/>
    <x v="299"/>
    <x v="3"/>
    <x v="30"/>
    <x v="458"/>
    <x v="2"/>
    <x v="1"/>
    <x v="458"/>
    <n v="291.73"/>
    <x v="237"/>
    <x v="14"/>
    <x v="1"/>
    <x v="1"/>
    <x v="0"/>
    <x v="3"/>
    <x v="14"/>
    <x v="363"/>
    <x v="7"/>
    <x v="365"/>
  </r>
  <r>
    <x v="332"/>
    <x v="299"/>
    <x v="3"/>
    <x v="22"/>
    <x v="459"/>
    <x v="0"/>
    <x v="1"/>
    <x v="459"/>
    <n v="100.98"/>
    <x v="230"/>
    <x v="14"/>
    <x v="1"/>
    <x v="1"/>
    <x v="0"/>
    <x v="3"/>
    <x v="14"/>
    <x v="364"/>
    <x v="7"/>
    <x v="366"/>
  </r>
  <r>
    <x v="332"/>
    <x v="299"/>
    <x v="3"/>
    <x v="11"/>
    <x v="460"/>
    <x v="4"/>
    <x v="0"/>
    <x v="460"/>
    <n v="155.06"/>
    <x v="176"/>
    <x v="14"/>
    <x v="1"/>
    <x v="1"/>
    <x v="0"/>
    <x v="3"/>
    <x v="6"/>
    <x v="251"/>
    <x v="7"/>
    <x v="322"/>
  </r>
  <r>
    <x v="333"/>
    <x v="300"/>
    <x v="2"/>
    <x v="48"/>
    <x v="461"/>
    <x v="4"/>
    <x v="2"/>
    <x v="461"/>
    <n v="4.9800000000000004"/>
    <x v="148"/>
    <x v="90"/>
    <x v="1"/>
    <x v="1"/>
    <x v="2"/>
    <x v="3"/>
    <x v="5"/>
    <x v="365"/>
    <x v="7"/>
    <x v="367"/>
  </r>
  <r>
    <x v="333"/>
    <x v="300"/>
    <x v="2"/>
    <x v="17"/>
    <x v="462"/>
    <x v="10"/>
    <x v="0"/>
    <x v="462"/>
    <n v="3.57"/>
    <x v="238"/>
    <x v="90"/>
    <x v="1"/>
    <x v="1"/>
    <x v="2"/>
    <x v="1"/>
    <x v="1"/>
    <x v="366"/>
    <x v="1"/>
    <x v="368"/>
  </r>
  <r>
    <x v="333"/>
    <x v="300"/>
    <x v="2"/>
    <x v="37"/>
    <x v="463"/>
    <x v="7"/>
    <x v="0"/>
    <x v="463"/>
    <n v="3.28"/>
    <x v="181"/>
    <x v="90"/>
    <x v="1"/>
    <x v="1"/>
    <x v="2"/>
    <x v="1"/>
    <x v="1"/>
    <x v="257"/>
    <x v="3"/>
    <x v="368"/>
  </r>
  <r>
    <x v="334"/>
    <x v="301"/>
    <x v="3"/>
    <x v="43"/>
    <x v="464"/>
    <x v="6"/>
    <x v="0"/>
    <x v="464"/>
    <n v="13.99"/>
    <x v="239"/>
    <x v="55"/>
    <x v="1"/>
    <x v="1"/>
    <x v="0"/>
    <x v="0"/>
    <x v="15"/>
    <x v="367"/>
    <x v="4"/>
    <x v="369"/>
  </r>
  <r>
    <x v="335"/>
    <x v="302"/>
    <x v="0"/>
    <x v="12"/>
    <x v="465"/>
    <x v="4"/>
    <x v="2"/>
    <x v="465"/>
    <n v="25.99"/>
    <x v="42"/>
    <x v="25"/>
    <x v="1"/>
    <x v="1"/>
    <x v="0"/>
    <x v="1"/>
    <x v="1"/>
    <x v="368"/>
    <x v="0"/>
    <x v="370"/>
  </r>
  <r>
    <x v="336"/>
    <x v="303"/>
    <x v="0"/>
    <x v="44"/>
    <x v="466"/>
    <x v="2"/>
    <x v="0"/>
    <x v="466"/>
    <n v="6.81"/>
    <x v="240"/>
    <x v="97"/>
    <x v="1"/>
    <x v="1"/>
    <x v="1"/>
    <x v="1"/>
    <x v="3"/>
    <x v="369"/>
    <x v="0"/>
    <x v="371"/>
  </r>
  <r>
    <x v="337"/>
    <x v="304"/>
    <x v="4"/>
    <x v="19"/>
    <x v="467"/>
    <x v="6"/>
    <x v="1"/>
    <x v="467"/>
    <n v="58.14"/>
    <x v="92"/>
    <x v="11"/>
    <x v="1"/>
    <x v="1"/>
    <x v="1"/>
    <x v="2"/>
    <x v="10"/>
    <x v="132"/>
    <x v="2"/>
    <x v="372"/>
  </r>
  <r>
    <x v="338"/>
    <x v="305"/>
    <x v="4"/>
    <x v="18"/>
    <x v="468"/>
    <x v="0"/>
    <x v="0"/>
    <x v="468"/>
    <n v="39.479999999999997"/>
    <x v="10"/>
    <x v="8"/>
    <x v="1"/>
    <x v="1"/>
    <x v="0"/>
    <x v="0"/>
    <x v="0"/>
    <x v="69"/>
    <x v="1"/>
    <x v="373"/>
  </r>
  <r>
    <x v="339"/>
    <x v="306"/>
    <x v="0"/>
    <x v="2"/>
    <x v="469"/>
    <x v="6"/>
    <x v="0"/>
    <x v="469"/>
    <n v="31.78"/>
    <x v="10"/>
    <x v="98"/>
    <x v="1"/>
    <x v="1"/>
    <x v="2"/>
    <x v="0"/>
    <x v="0"/>
    <x v="273"/>
    <x v="1"/>
    <x v="374"/>
  </r>
  <r>
    <x v="340"/>
    <x v="307"/>
    <x v="4"/>
    <x v="10"/>
    <x v="470"/>
    <x v="9"/>
    <x v="1"/>
    <x v="470"/>
    <n v="348.21"/>
    <x v="174"/>
    <x v="93"/>
    <x v="1"/>
    <x v="1"/>
    <x v="3"/>
    <x v="2"/>
    <x v="2"/>
    <x v="246"/>
    <x v="2"/>
    <x v="375"/>
  </r>
  <r>
    <x v="341"/>
    <x v="308"/>
    <x v="0"/>
    <x v="5"/>
    <x v="471"/>
    <x v="10"/>
    <x v="0"/>
    <x v="471"/>
    <n v="31.74"/>
    <x v="241"/>
    <x v="28"/>
    <x v="1"/>
    <x v="1"/>
    <x v="3"/>
    <x v="1"/>
    <x v="3"/>
    <x v="370"/>
    <x v="0"/>
    <x v="118"/>
  </r>
  <r>
    <x v="342"/>
    <x v="309"/>
    <x v="0"/>
    <x v="39"/>
    <x v="472"/>
    <x v="10"/>
    <x v="0"/>
    <x v="472"/>
    <n v="155.06"/>
    <x v="176"/>
    <x v="48"/>
    <x v="1"/>
    <x v="1"/>
    <x v="3"/>
    <x v="1"/>
    <x v="6"/>
    <x v="251"/>
    <x v="0"/>
    <x v="376"/>
  </r>
  <r>
    <x v="342"/>
    <x v="309"/>
    <x v="0"/>
    <x v="32"/>
    <x v="473"/>
    <x v="4"/>
    <x v="2"/>
    <x v="473"/>
    <n v="179.99"/>
    <x v="24"/>
    <x v="48"/>
    <x v="1"/>
    <x v="1"/>
    <x v="3"/>
    <x v="0"/>
    <x v="7"/>
    <x v="371"/>
    <x v="4"/>
    <x v="376"/>
  </r>
  <r>
    <x v="343"/>
    <x v="310"/>
    <x v="2"/>
    <x v="1"/>
    <x v="474"/>
    <x v="2"/>
    <x v="2"/>
    <x v="474"/>
    <n v="8.09"/>
    <x v="242"/>
    <x v="6"/>
    <x v="1"/>
    <x v="1"/>
    <x v="0"/>
    <x v="2"/>
    <x v="9"/>
    <x v="372"/>
    <x v="0"/>
    <x v="342"/>
  </r>
  <r>
    <x v="343"/>
    <x v="310"/>
    <x v="2"/>
    <x v="4"/>
    <x v="475"/>
    <x v="7"/>
    <x v="0"/>
    <x v="475"/>
    <n v="14.2"/>
    <x v="20"/>
    <x v="6"/>
    <x v="1"/>
    <x v="1"/>
    <x v="0"/>
    <x v="2"/>
    <x v="9"/>
    <x v="373"/>
    <x v="3"/>
    <x v="377"/>
  </r>
  <r>
    <x v="344"/>
    <x v="311"/>
    <x v="1"/>
    <x v="46"/>
    <x v="476"/>
    <x v="9"/>
    <x v="0"/>
    <x v="476"/>
    <n v="65.989999999999995"/>
    <x v="193"/>
    <x v="57"/>
    <x v="1"/>
    <x v="1"/>
    <x v="0"/>
    <x v="0"/>
    <x v="7"/>
    <x v="338"/>
    <x v="0"/>
    <x v="378"/>
  </r>
  <r>
    <x v="345"/>
    <x v="312"/>
    <x v="3"/>
    <x v="35"/>
    <x v="477"/>
    <x v="8"/>
    <x v="0"/>
    <x v="477"/>
    <n v="35.44"/>
    <x v="0"/>
    <x v="6"/>
    <x v="1"/>
    <x v="1"/>
    <x v="0"/>
    <x v="1"/>
    <x v="5"/>
    <x v="374"/>
    <x v="0"/>
    <x v="379"/>
  </r>
  <r>
    <x v="345"/>
    <x v="312"/>
    <x v="3"/>
    <x v="18"/>
    <x v="478"/>
    <x v="7"/>
    <x v="0"/>
    <x v="478"/>
    <n v="55.48"/>
    <x v="63"/>
    <x v="6"/>
    <x v="1"/>
    <x v="1"/>
    <x v="0"/>
    <x v="1"/>
    <x v="5"/>
    <x v="87"/>
    <x v="0"/>
    <x v="380"/>
  </r>
  <r>
    <x v="346"/>
    <x v="313"/>
    <x v="0"/>
    <x v="43"/>
    <x v="479"/>
    <x v="1"/>
    <x v="0"/>
    <x v="479"/>
    <n v="39.979999999999997"/>
    <x v="113"/>
    <x v="18"/>
    <x v="1"/>
    <x v="1"/>
    <x v="1"/>
    <x v="2"/>
    <x v="9"/>
    <x v="163"/>
    <x v="3"/>
    <x v="381"/>
  </r>
  <r>
    <x v="346"/>
    <x v="313"/>
    <x v="0"/>
    <x v="27"/>
    <x v="480"/>
    <x v="9"/>
    <x v="0"/>
    <x v="480"/>
    <n v="5.84"/>
    <x v="15"/>
    <x v="18"/>
    <x v="1"/>
    <x v="1"/>
    <x v="1"/>
    <x v="1"/>
    <x v="1"/>
    <x v="375"/>
    <x v="3"/>
    <x v="381"/>
  </r>
  <r>
    <x v="347"/>
    <x v="314"/>
    <x v="1"/>
    <x v="0"/>
    <x v="481"/>
    <x v="6"/>
    <x v="2"/>
    <x v="481"/>
    <n v="155.99"/>
    <x v="1"/>
    <x v="42"/>
    <x v="1"/>
    <x v="1"/>
    <x v="0"/>
    <x v="0"/>
    <x v="7"/>
    <x v="376"/>
    <x v="0"/>
    <x v="382"/>
  </r>
  <r>
    <x v="347"/>
    <x v="314"/>
    <x v="1"/>
    <x v="39"/>
    <x v="482"/>
    <x v="6"/>
    <x v="0"/>
    <x v="482"/>
    <n v="5.98"/>
    <x v="243"/>
    <x v="42"/>
    <x v="1"/>
    <x v="1"/>
    <x v="0"/>
    <x v="1"/>
    <x v="5"/>
    <x v="377"/>
    <x v="0"/>
    <x v="383"/>
  </r>
  <r>
    <x v="348"/>
    <x v="315"/>
    <x v="4"/>
    <x v="12"/>
    <x v="483"/>
    <x v="10"/>
    <x v="2"/>
    <x v="483"/>
    <n v="21.38"/>
    <x v="168"/>
    <x v="33"/>
    <x v="1"/>
    <x v="1"/>
    <x v="0"/>
    <x v="1"/>
    <x v="3"/>
    <x v="378"/>
    <x v="0"/>
    <x v="384"/>
  </r>
  <r>
    <x v="349"/>
    <x v="274"/>
    <x v="3"/>
    <x v="47"/>
    <x v="484"/>
    <x v="10"/>
    <x v="0"/>
    <x v="484"/>
    <n v="39.979999999999997"/>
    <x v="244"/>
    <x v="75"/>
    <x v="1"/>
    <x v="1"/>
    <x v="0"/>
    <x v="1"/>
    <x v="4"/>
    <x v="379"/>
    <x v="0"/>
    <x v="385"/>
  </r>
  <r>
    <x v="349"/>
    <x v="274"/>
    <x v="3"/>
    <x v="44"/>
    <x v="485"/>
    <x v="10"/>
    <x v="0"/>
    <x v="485"/>
    <n v="125.99"/>
    <x v="29"/>
    <x v="75"/>
    <x v="1"/>
    <x v="1"/>
    <x v="0"/>
    <x v="0"/>
    <x v="7"/>
    <x v="380"/>
    <x v="0"/>
    <x v="386"/>
  </r>
  <r>
    <x v="350"/>
    <x v="316"/>
    <x v="4"/>
    <x v="22"/>
    <x v="486"/>
    <x v="6"/>
    <x v="0"/>
    <x v="486"/>
    <n v="6.68"/>
    <x v="245"/>
    <x v="86"/>
    <x v="1"/>
    <x v="1"/>
    <x v="1"/>
    <x v="1"/>
    <x v="5"/>
    <x v="381"/>
    <x v="0"/>
    <x v="387"/>
  </r>
  <r>
    <x v="351"/>
    <x v="317"/>
    <x v="0"/>
    <x v="6"/>
    <x v="487"/>
    <x v="1"/>
    <x v="0"/>
    <x v="487"/>
    <n v="4.38"/>
    <x v="246"/>
    <x v="44"/>
    <x v="1"/>
    <x v="1"/>
    <x v="3"/>
    <x v="1"/>
    <x v="3"/>
    <x v="382"/>
    <x v="0"/>
    <x v="388"/>
  </r>
  <r>
    <x v="351"/>
    <x v="317"/>
    <x v="0"/>
    <x v="46"/>
    <x v="488"/>
    <x v="1"/>
    <x v="0"/>
    <x v="488"/>
    <n v="64.98"/>
    <x v="247"/>
    <x v="44"/>
    <x v="1"/>
    <x v="1"/>
    <x v="3"/>
    <x v="1"/>
    <x v="6"/>
    <x v="383"/>
    <x v="0"/>
    <x v="388"/>
  </r>
  <r>
    <x v="351"/>
    <x v="317"/>
    <x v="0"/>
    <x v="20"/>
    <x v="489"/>
    <x v="1"/>
    <x v="0"/>
    <x v="489"/>
    <n v="155.99"/>
    <x v="1"/>
    <x v="44"/>
    <x v="1"/>
    <x v="1"/>
    <x v="3"/>
    <x v="0"/>
    <x v="7"/>
    <x v="376"/>
    <x v="0"/>
    <x v="389"/>
  </r>
  <r>
    <x v="352"/>
    <x v="78"/>
    <x v="3"/>
    <x v="19"/>
    <x v="490"/>
    <x v="4"/>
    <x v="0"/>
    <x v="490"/>
    <n v="30.73"/>
    <x v="13"/>
    <x v="44"/>
    <x v="1"/>
    <x v="1"/>
    <x v="3"/>
    <x v="0"/>
    <x v="0"/>
    <x v="100"/>
    <x v="0"/>
    <x v="390"/>
  </r>
  <r>
    <x v="353"/>
    <x v="318"/>
    <x v="3"/>
    <x v="48"/>
    <x v="491"/>
    <x v="9"/>
    <x v="1"/>
    <x v="491"/>
    <n v="160.97999999999999"/>
    <x v="147"/>
    <x v="44"/>
    <x v="1"/>
    <x v="1"/>
    <x v="3"/>
    <x v="2"/>
    <x v="14"/>
    <x v="384"/>
    <x v="6"/>
    <x v="391"/>
  </r>
  <r>
    <x v="353"/>
    <x v="318"/>
    <x v="3"/>
    <x v="29"/>
    <x v="492"/>
    <x v="8"/>
    <x v="0"/>
    <x v="492"/>
    <n v="64.98"/>
    <x v="247"/>
    <x v="44"/>
    <x v="1"/>
    <x v="1"/>
    <x v="3"/>
    <x v="1"/>
    <x v="6"/>
    <x v="383"/>
    <x v="0"/>
    <x v="392"/>
  </r>
  <r>
    <x v="353"/>
    <x v="318"/>
    <x v="3"/>
    <x v="23"/>
    <x v="493"/>
    <x v="2"/>
    <x v="1"/>
    <x v="493"/>
    <n v="348.21"/>
    <x v="174"/>
    <x v="44"/>
    <x v="1"/>
    <x v="1"/>
    <x v="3"/>
    <x v="2"/>
    <x v="2"/>
    <x v="246"/>
    <x v="2"/>
    <x v="393"/>
  </r>
  <r>
    <x v="354"/>
    <x v="319"/>
    <x v="1"/>
    <x v="33"/>
    <x v="494"/>
    <x v="8"/>
    <x v="0"/>
    <x v="494"/>
    <n v="2.88"/>
    <x v="6"/>
    <x v="49"/>
    <x v="1"/>
    <x v="1"/>
    <x v="0"/>
    <x v="1"/>
    <x v="3"/>
    <x v="142"/>
    <x v="0"/>
    <x v="78"/>
  </r>
  <r>
    <x v="354"/>
    <x v="319"/>
    <x v="1"/>
    <x v="47"/>
    <x v="495"/>
    <x v="1"/>
    <x v="0"/>
    <x v="495"/>
    <n v="20.99"/>
    <x v="22"/>
    <x v="49"/>
    <x v="1"/>
    <x v="1"/>
    <x v="0"/>
    <x v="0"/>
    <x v="7"/>
    <x v="385"/>
    <x v="3"/>
    <x v="78"/>
  </r>
  <r>
    <x v="355"/>
    <x v="320"/>
    <x v="0"/>
    <x v="16"/>
    <x v="496"/>
    <x v="4"/>
    <x v="0"/>
    <x v="496"/>
    <n v="5.98"/>
    <x v="243"/>
    <x v="58"/>
    <x v="1"/>
    <x v="1"/>
    <x v="0"/>
    <x v="1"/>
    <x v="5"/>
    <x v="377"/>
    <x v="0"/>
    <x v="394"/>
  </r>
  <r>
    <x v="355"/>
    <x v="320"/>
    <x v="0"/>
    <x v="5"/>
    <x v="497"/>
    <x v="6"/>
    <x v="0"/>
    <x v="497"/>
    <n v="65.989999999999995"/>
    <x v="193"/>
    <x v="58"/>
    <x v="1"/>
    <x v="1"/>
    <x v="0"/>
    <x v="0"/>
    <x v="7"/>
    <x v="338"/>
    <x v="0"/>
    <x v="395"/>
  </r>
  <r>
    <x v="356"/>
    <x v="321"/>
    <x v="4"/>
    <x v="22"/>
    <x v="498"/>
    <x v="4"/>
    <x v="0"/>
    <x v="498"/>
    <n v="29.89"/>
    <x v="10"/>
    <x v="3"/>
    <x v="1"/>
    <x v="1"/>
    <x v="1"/>
    <x v="0"/>
    <x v="0"/>
    <x v="386"/>
    <x v="1"/>
    <x v="396"/>
  </r>
  <r>
    <x v="356"/>
    <x v="321"/>
    <x v="4"/>
    <x v="12"/>
    <x v="499"/>
    <x v="1"/>
    <x v="0"/>
    <x v="499"/>
    <n v="4"/>
    <x v="248"/>
    <x v="3"/>
    <x v="1"/>
    <x v="1"/>
    <x v="1"/>
    <x v="1"/>
    <x v="5"/>
    <x v="387"/>
    <x v="3"/>
    <x v="397"/>
  </r>
  <r>
    <x v="357"/>
    <x v="322"/>
    <x v="4"/>
    <x v="11"/>
    <x v="500"/>
    <x v="8"/>
    <x v="2"/>
    <x v="500"/>
    <n v="218.08"/>
    <x v="249"/>
    <x v="96"/>
    <x v="1"/>
    <x v="1"/>
    <x v="2"/>
    <x v="2"/>
    <x v="14"/>
    <x v="388"/>
    <x v="5"/>
    <x v="398"/>
  </r>
  <r>
    <x v="358"/>
    <x v="4"/>
    <x v="1"/>
    <x v="46"/>
    <x v="501"/>
    <x v="10"/>
    <x v="0"/>
    <x v="501"/>
    <n v="76.72"/>
    <x v="250"/>
    <x v="97"/>
    <x v="1"/>
    <x v="1"/>
    <x v="0"/>
    <x v="1"/>
    <x v="13"/>
    <x v="389"/>
    <x v="5"/>
    <x v="399"/>
  </r>
  <r>
    <x v="358"/>
    <x v="4"/>
    <x v="1"/>
    <x v="6"/>
    <x v="502"/>
    <x v="8"/>
    <x v="0"/>
    <x v="502"/>
    <n v="1.88"/>
    <x v="6"/>
    <x v="97"/>
    <x v="1"/>
    <x v="1"/>
    <x v="0"/>
    <x v="1"/>
    <x v="3"/>
    <x v="390"/>
    <x v="0"/>
    <x v="6"/>
  </r>
  <r>
    <x v="359"/>
    <x v="323"/>
    <x v="4"/>
    <x v="12"/>
    <x v="503"/>
    <x v="3"/>
    <x v="0"/>
    <x v="503"/>
    <n v="107.53"/>
    <x v="251"/>
    <x v="73"/>
    <x v="1"/>
    <x v="1"/>
    <x v="3"/>
    <x v="2"/>
    <x v="9"/>
    <x v="391"/>
    <x v="4"/>
    <x v="400"/>
  </r>
  <r>
    <x v="360"/>
    <x v="313"/>
    <x v="2"/>
    <x v="32"/>
    <x v="504"/>
    <x v="2"/>
    <x v="2"/>
    <x v="504"/>
    <n v="7.38"/>
    <x v="252"/>
    <x v="44"/>
    <x v="1"/>
    <x v="1"/>
    <x v="3"/>
    <x v="1"/>
    <x v="3"/>
    <x v="392"/>
    <x v="0"/>
    <x v="401"/>
  </r>
  <r>
    <x v="360"/>
    <x v="313"/>
    <x v="2"/>
    <x v="30"/>
    <x v="505"/>
    <x v="1"/>
    <x v="2"/>
    <x v="505"/>
    <n v="20.239999999999998"/>
    <x v="1"/>
    <x v="44"/>
    <x v="1"/>
    <x v="1"/>
    <x v="3"/>
    <x v="2"/>
    <x v="9"/>
    <x v="393"/>
    <x v="1"/>
    <x v="381"/>
  </r>
  <r>
    <x v="360"/>
    <x v="313"/>
    <x v="2"/>
    <x v="12"/>
    <x v="506"/>
    <x v="0"/>
    <x v="0"/>
    <x v="506"/>
    <n v="12.44"/>
    <x v="9"/>
    <x v="44"/>
    <x v="1"/>
    <x v="1"/>
    <x v="3"/>
    <x v="1"/>
    <x v="6"/>
    <x v="394"/>
    <x v="4"/>
    <x v="381"/>
  </r>
  <r>
    <x v="361"/>
    <x v="324"/>
    <x v="1"/>
    <x v="20"/>
    <x v="507"/>
    <x v="3"/>
    <x v="0"/>
    <x v="507"/>
    <n v="4.91"/>
    <x v="14"/>
    <x v="99"/>
    <x v="1"/>
    <x v="1"/>
    <x v="0"/>
    <x v="1"/>
    <x v="8"/>
    <x v="395"/>
    <x v="0"/>
    <x v="402"/>
  </r>
  <r>
    <x v="361"/>
    <x v="324"/>
    <x v="1"/>
    <x v="45"/>
    <x v="508"/>
    <x v="6"/>
    <x v="1"/>
    <x v="508"/>
    <n v="296.18"/>
    <x v="253"/>
    <x v="99"/>
    <x v="1"/>
    <x v="1"/>
    <x v="0"/>
    <x v="2"/>
    <x v="2"/>
    <x v="396"/>
    <x v="2"/>
    <x v="403"/>
  </r>
  <r>
    <x v="362"/>
    <x v="325"/>
    <x v="1"/>
    <x v="23"/>
    <x v="509"/>
    <x v="5"/>
    <x v="2"/>
    <x v="509"/>
    <n v="1.6"/>
    <x v="254"/>
    <x v="15"/>
    <x v="1"/>
    <x v="1"/>
    <x v="2"/>
    <x v="1"/>
    <x v="1"/>
    <x v="397"/>
    <x v="3"/>
    <x v="404"/>
  </r>
  <r>
    <x v="362"/>
    <x v="325"/>
    <x v="1"/>
    <x v="17"/>
    <x v="510"/>
    <x v="5"/>
    <x v="0"/>
    <x v="510"/>
    <n v="65.989999999999995"/>
    <x v="1"/>
    <x v="15"/>
    <x v="1"/>
    <x v="1"/>
    <x v="2"/>
    <x v="0"/>
    <x v="7"/>
    <x v="259"/>
    <x v="0"/>
    <x v="19"/>
  </r>
  <r>
    <x v="363"/>
    <x v="237"/>
    <x v="1"/>
    <x v="4"/>
    <x v="511"/>
    <x v="6"/>
    <x v="0"/>
    <x v="511"/>
    <n v="11.97"/>
    <x v="251"/>
    <x v="75"/>
    <x v="1"/>
    <x v="1"/>
    <x v="0"/>
    <x v="1"/>
    <x v="1"/>
    <x v="398"/>
    <x v="1"/>
    <x v="122"/>
  </r>
  <r>
    <x v="364"/>
    <x v="190"/>
    <x v="0"/>
    <x v="22"/>
    <x v="512"/>
    <x v="10"/>
    <x v="1"/>
    <x v="512"/>
    <n v="80.97"/>
    <x v="255"/>
    <x v="63"/>
    <x v="1"/>
    <x v="1"/>
    <x v="0"/>
    <x v="0"/>
    <x v="15"/>
    <x v="399"/>
    <x v="2"/>
    <x v="405"/>
  </r>
  <r>
    <x v="364"/>
    <x v="190"/>
    <x v="0"/>
    <x v="2"/>
    <x v="513"/>
    <x v="4"/>
    <x v="0"/>
    <x v="513"/>
    <n v="5.28"/>
    <x v="256"/>
    <x v="63"/>
    <x v="1"/>
    <x v="1"/>
    <x v="0"/>
    <x v="1"/>
    <x v="5"/>
    <x v="400"/>
    <x v="0"/>
    <x v="240"/>
  </r>
  <r>
    <x v="365"/>
    <x v="326"/>
    <x v="3"/>
    <x v="25"/>
    <x v="514"/>
    <x v="8"/>
    <x v="0"/>
    <x v="514"/>
    <n v="120.98"/>
    <x v="257"/>
    <x v="55"/>
    <x v="1"/>
    <x v="1"/>
    <x v="0"/>
    <x v="1"/>
    <x v="3"/>
    <x v="401"/>
    <x v="0"/>
    <x v="406"/>
  </r>
  <r>
    <x v="365"/>
    <x v="326"/>
    <x v="3"/>
    <x v="4"/>
    <x v="515"/>
    <x v="1"/>
    <x v="2"/>
    <x v="515"/>
    <n v="8.32"/>
    <x v="258"/>
    <x v="55"/>
    <x v="1"/>
    <x v="1"/>
    <x v="0"/>
    <x v="0"/>
    <x v="0"/>
    <x v="402"/>
    <x v="1"/>
    <x v="407"/>
  </r>
  <r>
    <x v="365"/>
    <x v="326"/>
    <x v="3"/>
    <x v="6"/>
    <x v="516"/>
    <x v="8"/>
    <x v="0"/>
    <x v="516"/>
    <n v="125.99"/>
    <x v="233"/>
    <x v="55"/>
    <x v="1"/>
    <x v="1"/>
    <x v="0"/>
    <x v="0"/>
    <x v="7"/>
    <x v="403"/>
    <x v="0"/>
    <x v="408"/>
  </r>
  <r>
    <x v="366"/>
    <x v="223"/>
    <x v="4"/>
    <x v="11"/>
    <x v="517"/>
    <x v="6"/>
    <x v="0"/>
    <x v="517"/>
    <n v="2.88"/>
    <x v="6"/>
    <x v="90"/>
    <x v="1"/>
    <x v="1"/>
    <x v="2"/>
    <x v="1"/>
    <x v="3"/>
    <x v="142"/>
    <x v="0"/>
    <x v="275"/>
  </r>
  <r>
    <x v="367"/>
    <x v="327"/>
    <x v="2"/>
    <x v="35"/>
    <x v="518"/>
    <x v="0"/>
    <x v="0"/>
    <x v="518"/>
    <n v="3.98"/>
    <x v="259"/>
    <x v="49"/>
    <x v="1"/>
    <x v="1"/>
    <x v="0"/>
    <x v="1"/>
    <x v="5"/>
    <x v="404"/>
    <x v="3"/>
    <x v="409"/>
  </r>
  <r>
    <x v="368"/>
    <x v="223"/>
    <x v="1"/>
    <x v="30"/>
    <x v="519"/>
    <x v="8"/>
    <x v="0"/>
    <x v="519"/>
    <n v="8.69"/>
    <x v="168"/>
    <x v="13"/>
    <x v="1"/>
    <x v="1"/>
    <x v="2"/>
    <x v="1"/>
    <x v="3"/>
    <x v="405"/>
    <x v="0"/>
    <x v="275"/>
  </r>
  <r>
    <x v="369"/>
    <x v="328"/>
    <x v="0"/>
    <x v="7"/>
    <x v="63"/>
    <x v="5"/>
    <x v="0"/>
    <x v="520"/>
    <n v="4.1399999999999997"/>
    <x v="260"/>
    <x v="6"/>
    <x v="1"/>
    <x v="1"/>
    <x v="0"/>
    <x v="2"/>
    <x v="9"/>
    <x v="406"/>
    <x v="0"/>
    <x v="410"/>
  </r>
  <r>
    <x v="369"/>
    <x v="328"/>
    <x v="0"/>
    <x v="11"/>
    <x v="520"/>
    <x v="6"/>
    <x v="0"/>
    <x v="521"/>
    <n v="65.989999999999995"/>
    <x v="1"/>
    <x v="6"/>
    <x v="1"/>
    <x v="1"/>
    <x v="0"/>
    <x v="0"/>
    <x v="7"/>
    <x v="407"/>
    <x v="0"/>
    <x v="410"/>
  </r>
  <r>
    <x v="370"/>
    <x v="329"/>
    <x v="2"/>
    <x v="26"/>
    <x v="521"/>
    <x v="5"/>
    <x v="1"/>
    <x v="522"/>
    <n v="70.98"/>
    <x v="261"/>
    <x v="100"/>
    <x v="1"/>
    <x v="1"/>
    <x v="0"/>
    <x v="2"/>
    <x v="10"/>
    <x v="408"/>
    <x v="2"/>
    <x v="411"/>
  </r>
  <r>
    <x v="370"/>
    <x v="329"/>
    <x v="2"/>
    <x v="44"/>
    <x v="522"/>
    <x v="10"/>
    <x v="0"/>
    <x v="523"/>
    <n v="40.99"/>
    <x v="262"/>
    <x v="100"/>
    <x v="1"/>
    <x v="1"/>
    <x v="0"/>
    <x v="1"/>
    <x v="5"/>
    <x v="409"/>
    <x v="0"/>
    <x v="412"/>
  </r>
  <r>
    <x v="371"/>
    <x v="330"/>
    <x v="1"/>
    <x v="0"/>
    <x v="523"/>
    <x v="6"/>
    <x v="0"/>
    <x v="524"/>
    <n v="22.38"/>
    <x v="212"/>
    <x v="48"/>
    <x v="1"/>
    <x v="1"/>
    <x v="3"/>
    <x v="1"/>
    <x v="3"/>
    <x v="327"/>
    <x v="0"/>
    <x v="413"/>
  </r>
  <r>
    <x v="371"/>
    <x v="330"/>
    <x v="1"/>
    <x v="12"/>
    <x v="524"/>
    <x v="2"/>
    <x v="2"/>
    <x v="525"/>
    <n v="30.98"/>
    <x v="115"/>
    <x v="48"/>
    <x v="1"/>
    <x v="1"/>
    <x v="3"/>
    <x v="0"/>
    <x v="0"/>
    <x v="165"/>
    <x v="0"/>
    <x v="414"/>
  </r>
  <r>
    <x v="371"/>
    <x v="330"/>
    <x v="1"/>
    <x v="19"/>
    <x v="525"/>
    <x v="3"/>
    <x v="0"/>
    <x v="526"/>
    <n v="195.99"/>
    <x v="1"/>
    <x v="48"/>
    <x v="1"/>
    <x v="1"/>
    <x v="3"/>
    <x v="0"/>
    <x v="7"/>
    <x v="410"/>
    <x v="0"/>
    <x v="414"/>
  </r>
  <r>
    <x v="372"/>
    <x v="331"/>
    <x v="3"/>
    <x v="21"/>
    <x v="526"/>
    <x v="10"/>
    <x v="0"/>
    <x v="527"/>
    <n v="5.98"/>
    <x v="263"/>
    <x v="7"/>
    <x v="1"/>
    <x v="1"/>
    <x v="1"/>
    <x v="1"/>
    <x v="5"/>
    <x v="411"/>
    <x v="0"/>
    <x v="415"/>
  </r>
  <r>
    <x v="373"/>
    <x v="332"/>
    <x v="4"/>
    <x v="5"/>
    <x v="527"/>
    <x v="0"/>
    <x v="2"/>
    <x v="528"/>
    <n v="4.24"/>
    <x v="95"/>
    <x v="49"/>
    <x v="1"/>
    <x v="1"/>
    <x v="0"/>
    <x v="1"/>
    <x v="3"/>
    <x v="136"/>
    <x v="0"/>
    <x v="416"/>
  </r>
  <r>
    <x v="374"/>
    <x v="333"/>
    <x v="2"/>
    <x v="19"/>
    <x v="528"/>
    <x v="2"/>
    <x v="1"/>
    <x v="529"/>
    <n v="146.34"/>
    <x v="187"/>
    <x v="20"/>
    <x v="1"/>
    <x v="1"/>
    <x v="1"/>
    <x v="2"/>
    <x v="2"/>
    <x v="267"/>
    <x v="2"/>
    <x v="328"/>
  </r>
  <r>
    <x v="375"/>
    <x v="8"/>
    <x v="3"/>
    <x v="47"/>
    <x v="529"/>
    <x v="2"/>
    <x v="0"/>
    <x v="530"/>
    <n v="46.94"/>
    <x v="264"/>
    <x v="101"/>
    <x v="1"/>
    <x v="1"/>
    <x v="3"/>
    <x v="2"/>
    <x v="9"/>
    <x v="412"/>
    <x v="0"/>
    <x v="417"/>
  </r>
  <r>
    <x v="375"/>
    <x v="8"/>
    <x v="3"/>
    <x v="5"/>
    <x v="530"/>
    <x v="3"/>
    <x v="0"/>
    <x v="531"/>
    <n v="161.55000000000001"/>
    <x v="0"/>
    <x v="101"/>
    <x v="1"/>
    <x v="1"/>
    <x v="3"/>
    <x v="1"/>
    <x v="6"/>
    <x v="216"/>
    <x v="0"/>
    <x v="418"/>
  </r>
  <r>
    <x v="376"/>
    <x v="334"/>
    <x v="4"/>
    <x v="5"/>
    <x v="531"/>
    <x v="5"/>
    <x v="2"/>
    <x v="532"/>
    <n v="195.99"/>
    <x v="233"/>
    <x v="58"/>
    <x v="1"/>
    <x v="1"/>
    <x v="0"/>
    <x v="0"/>
    <x v="7"/>
    <x v="413"/>
    <x v="0"/>
    <x v="419"/>
  </r>
  <r>
    <x v="377"/>
    <x v="335"/>
    <x v="2"/>
    <x v="49"/>
    <x v="532"/>
    <x v="2"/>
    <x v="0"/>
    <x v="533"/>
    <n v="5.68"/>
    <x v="265"/>
    <x v="19"/>
    <x v="1"/>
    <x v="1"/>
    <x v="3"/>
    <x v="1"/>
    <x v="5"/>
    <x v="414"/>
    <x v="3"/>
    <x v="420"/>
  </r>
  <r>
    <x v="377"/>
    <x v="335"/>
    <x v="2"/>
    <x v="23"/>
    <x v="533"/>
    <x v="9"/>
    <x v="0"/>
    <x v="534"/>
    <n v="10.14"/>
    <x v="266"/>
    <x v="19"/>
    <x v="1"/>
    <x v="1"/>
    <x v="3"/>
    <x v="1"/>
    <x v="5"/>
    <x v="415"/>
    <x v="3"/>
    <x v="421"/>
  </r>
  <r>
    <x v="378"/>
    <x v="336"/>
    <x v="2"/>
    <x v="30"/>
    <x v="534"/>
    <x v="0"/>
    <x v="0"/>
    <x v="535"/>
    <n v="225.04"/>
    <x v="235"/>
    <x v="6"/>
    <x v="1"/>
    <x v="1"/>
    <x v="0"/>
    <x v="1"/>
    <x v="13"/>
    <x v="361"/>
    <x v="4"/>
    <x v="422"/>
  </r>
  <r>
    <x v="379"/>
    <x v="337"/>
    <x v="3"/>
    <x v="13"/>
    <x v="535"/>
    <x v="5"/>
    <x v="1"/>
    <x v="536"/>
    <n v="306.14"/>
    <x v="267"/>
    <x v="7"/>
    <x v="1"/>
    <x v="1"/>
    <x v="1"/>
    <x v="0"/>
    <x v="15"/>
    <x v="416"/>
    <x v="6"/>
    <x v="423"/>
  </r>
  <r>
    <x v="379"/>
    <x v="337"/>
    <x v="3"/>
    <x v="49"/>
    <x v="536"/>
    <x v="2"/>
    <x v="0"/>
    <x v="537"/>
    <n v="30.98"/>
    <x v="268"/>
    <x v="7"/>
    <x v="1"/>
    <x v="1"/>
    <x v="1"/>
    <x v="1"/>
    <x v="5"/>
    <x v="417"/>
    <x v="0"/>
    <x v="150"/>
  </r>
  <r>
    <x v="380"/>
    <x v="93"/>
    <x v="2"/>
    <x v="3"/>
    <x v="537"/>
    <x v="1"/>
    <x v="1"/>
    <x v="538"/>
    <n v="60.89"/>
    <x v="269"/>
    <x v="102"/>
    <x v="1"/>
    <x v="1"/>
    <x v="0"/>
    <x v="2"/>
    <x v="14"/>
    <x v="418"/>
    <x v="6"/>
    <x v="424"/>
  </r>
  <r>
    <x v="381"/>
    <x v="338"/>
    <x v="4"/>
    <x v="29"/>
    <x v="538"/>
    <x v="3"/>
    <x v="0"/>
    <x v="539"/>
    <n v="1938.02"/>
    <x v="24"/>
    <x v="61"/>
    <x v="1"/>
    <x v="1"/>
    <x v="2"/>
    <x v="0"/>
    <x v="15"/>
    <x v="419"/>
    <x v="4"/>
    <x v="425"/>
  </r>
  <r>
    <x v="382"/>
    <x v="339"/>
    <x v="4"/>
    <x v="7"/>
    <x v="539"/>
    <x v="7"/>
    <x v="0"/>
    <x v="540"/>
    <n v="155.99"/>
    <x v="1"/>
    <x v="62"/>
    <x v="1"/>
    <x v="1"/>
    <x v="0"/>
    <x v="0"/>
    <x v="7"/>
    <x v="420"/>
    <x v="0"/>
    <x v="426"/>
  </r>
  <r>
    <x v="383"/>
    <x v="340"/>
    <x v="4"/>
    <x v="49"/>
    <x v="540"/>
    <x v="3"/>
    <x v="0"/>
    <x v="541"/>
    <n v="5.28"/>
    <x v="168"/>
    <x v="33"/>
    <x v="1"/>
    <x v="1"/>
    <x v="0"/>
    <x v="1"/>
    <x v="3"/>
    <x v="421"/>
    <x v="0"/>
    <x v="210"/>
  </r>
  <r>
    <x v="383"/>
    <x v="340"/>
    <x v="4"/>
    <x v="1"/>
    <x v="541"/>
    <x v="10"/>
    <x v="0"/>
    <x v="542"/>
    <n v="4.2"/>
    <x v="270"/>
    <x v="33"/>
    <x v="1"/>
    <x v="1"/>
    <x v="0"/>
    <x v="1"/>
    <x v="5"/>
    <x v="422"/>
    <x v="3"/>
    <x v="210"/>
  </r>
  <r>
    <x v="384"/>
    <x v="341"/>
    <x v="0"/>
    <x v="49"/>
    <x v="542"/>
    <x v="0"/>
    <x v="0"/>
    <x v="543"/>
    <n v="16.510000000000002"/>
    <x v="168"/>
    <x v="103"/>
    <x v="1"/>
    <x v="1"/>
    <x v="3"/>
    <x v="1"/>
    <x v="3"/>
    <x v="423"/>
    <x v="0"/>
    <x v="427"/>
  </r>
  <r>
    <x v="384"/>
    <x v="341"/>
    <x v="0"/>
    <x v="33"/>
    <x v="543"/>
    <x v="6"/>
    <x v="0"/>
    <x v="544"/>
    <n v="55.48"/>
    <x v="271"/>
    <x v="103"/>
    <x v="1"/>
    <x v="1"/>
    <x v="3"/>
    <x v="1"/>
    <x v="5"/>
    <x v="424"/>
    <x v="0"/>
    <x v="427"/>
  </r>
  <r>
    <x v="384"/>
    <x v="341"/>
    <x v="0"/>
    <x v="34"/>
    <x v="544"/>
    <x v="10"/>
    <x v="0"/>
    <x v="545"/>
    <n v="78.8"/>
    <x v="66"/>
    <x v="103"/>
    <x v="1"/>
    <x v="1"/>
    <x v="3"/>
    <x v="1"/>
    <x v="6"/>
    <x v="425"/>
    <x v="5"/>
    <x v="427"/>
  </r>
  <r>
    <x v="385"/>
    <x v="342"/>
    <x v="1"/>
    <x v="13"/>
    <x v="545"/>
    <x v="9"/>
    <x v="0"/>
    <x v="546"/>
    <n v="45.99"/>
    <x v="272"/>
    <x v="84"/>
    <x v="1"/>
    <x v="1"/>
    <x v="1"/>
    <x v="0"/>
    <x v="7"/>
    <x v="426"/>
    <x v="0"/>
    <x v="3"/>
  </r>
  <r>
    <x v="386"/>
    <x v="343"/>
    <x v="1"/>
    <x v="39"/>
    <x v="546"/>
    <x v="8"/>
    <x v="0"/>
    <x v="547"/>
    <n v="3.6"/>
    <x v="273"/>
    <x v="61"/>
    <x v="1"/>
    <x v="1"/>
    <x v="2"/>
    <x v="1"/>
    <x v="5"/>
    <x v="427"/>
    <x v="3"/>
    <x v="194"/>
  </r>
  <r>
    <x v="387"/>
    <x v="344"/>
    <x v="0"/>
    <x v="21"/>
    <x v="547"/>
    <x v="10"/>
    <x v="0"/>
    <x v="548"/>
    <n v="7.64"/>
    <x v="126"/>
    <x v="96"/>
    <x v="1"/>
    <x v="1"/>
    <x v="0"/>
    <x v="1"/>
    <x v="4"/>
    <x v="428"/>
    <x v="0"/>
    <x v="428"/>
  </r>
  <r>
    <x v="388"/>
    <x v="345"/>
    <x v="0"/>
    <x v="41"/>
    <x v="548"/>
    <x v="7"/>
    <x v="0"/>
    <x v="549"/>
    <n v="7.1"/>
    <x v="213"/>
    <x v="26"/>
    <x v="1"/>
    <x v="1"/>
    <x v="1"/>
    <x v="1"/>
    <x v="3"/>
    <x v="429"/>
    <x v="0"/>
    <x v="270"/>
  </r>
  <r>
    <x v="388"/>
    <x v="345"/>
    <x v="0"/>
    <x v="45"/>
    <x v="549"/>
    <x v="4"/>
    <x v="0"/>
    <x v="550"/>
    <n v="17.78"/>
    <x v="179"/>
    <x v="26"/>
    <x v="1"/>
    <x v="1"/>
    <x v="1"/>
    <x v="2"/>
    <x v="9"/>
    <x v="430"/>
    <x v="0"/>
    <x v="429"/>
  </r>
  <r>
    <x v="389"/>
    <x v="346"/>
    <x v="3"/>
    <x v="2"/>
    <x v="550"/>
    <x v="3"/>
    <x v="0"/>
    <x v="551"/>
    <n v="5.34"/>
    <x v="168"/>
    <x v="81"/>
    <x v="1"/>
    <x v="1"/>
    <x v="3"/>
    <x v="1"/>
    <x v="3"/>
    <x v="431"/>
    <x v="0"/>
    <x v="430"/>
  </r>
  <r>
    <x v="390"/>
    <x v="299"/>
    <x v="2"/>
    <x v="40"/>
    <x v="551"/>
    <x v="3"/>
    <x v="2"/>
    <x v="552"/>
    <n v="9.11"/>
    <x v="189"/>
    <x v="98"/>
    <x v="1"/>
    <x v="1"/>
    <x v="2"/>
    <x v="1"/>
    <x v="5"/>
    <x v="275"/>
    <x v="3"/>
    <x v="366"/>
  </r>
  <r>
    <x v="390"/>
    <x v="299"/>
    <x v="2"/>
    <x v="22"/>
    <x v="552"/>
    <x v="1"/>
    <x v="0"/>
    <x v="553"/>
    <n v="15.04"/>
    <x v="274"/>
    <x v="98"/>
    <x v="1"/>
    <x v="1"/>
    <x v="2"/>
    <x v="1"/>
    <x v="5"/>
    <x v="432"/>
    <x v="3"/>
    <x v="365"/>
  </r>
  <r>
    <x v="391"/>
    <x v="347"/>
    <x v="4"/>
    <x v="10"/>
    <x v="553"/>
    <x v="8"/>
    <x v="0"/>
    <x v="554"/>
    <n v="367.99"/>
    <x v="0"/>
    <x v="14"/>
    <x v="1"/>
    <x v="1"/>
    <x v="0"/>
    <x v="1"/>
    <x v="3"/>
    <x v="433"/>
    <x v="0"/>
    <x v="431"/>
  </r>
  <r>
    <x v="391"/>
    <x v="347"/>
    <x v="4"/>
    <x v="45"/>
    <x v="554"/>
    <x v="8"/>
    <x v="0"/>
    <x v="555"/>
    <n v="4.24"/>
    <x v="95"/>
    <x v="14"/>
    <x v="1"/>
    <x v="1"/>
    <x v="0"/>
    <x v="1"/>
    <x v="3"/>
    <x v="136"/>
    <x v="0"/>
    <x v="431"/>
  </r>
  <r>
    <x v="392"/>
    <x v="348"/>
    <x v="1"/>
    <x v="3"/>
    <x v="555"/>
    <x v="7"/>
    <x v="0"/>
    <x v="556"/>
    <n v="5.28"/>
    <x v="275"/>
    <x v="104"/>
    <x v="1"/>
    <x v="1"/>
    <x v="1"/>
    <x v="2"/>
    <x v="9"/>
    <x v="434"/>
    <x v="3"/>
    <x v="432"/>
  </r>
  <r>
    <x v="393"/>
    <x v="134"/>
    <x v="1"/>
    <x v="44"/>
    <x v="556"/>
    <x v="6"/>
    <x v="2"/>
    <x v="557"/>
    <n v="420.98"/>
    <x v="0"/>
    <x v="64"/>
    <x v="1"/>
    <x v="1"/>
    <x v="0"/>
    <x v="1"/>
    <x v="3"/>
    <x v="435"/>
    <x v="0"/>
    <x v="164"/>
  </r>
  <r>
    <x v="393"/>
    <x v="134"/>
    <x v="1"/>
    <x v="10"/>
    <x v="557"/>
    <x v="4"/>
    <x v="1"/>
    <x v="558"/>
    <n v="140.97999999999999"/>
    <x v="276"/>
    <x v="64"/>
    <x v="1"/>
    <x v="1"/>
    <x v="0"/>
    <x v="2"/>
    <x v="10"/>
    <x v="436"/>
    <x v="2"/>
    <x v="164"/>
  </r>
  <r>
    <x v="393"/>
    <x v="134"/>
    <x v="1"/>
    <x v="48"/>
    <x v="558"/>
    <x v="4"/>
    <x v="1"/>
    <x v="559"/>
    <n v="3502.14"/>
    <x v="87"/>
    <x v="64"/>
    <x v="1"/>
    <x v="1"/>
    <x v="0"/>
    <x v="0"/>
    <x v="15"/>
    <x v="121"/>
    <x v="2"/>
    <x v="163"/>
  </r>
  <r>
    <x v="393"/>
    <x v="134"/>
    <x v="1"/>
    <x v="0"/>
    <x v="559"/>
    <x v="0"/>
    <x v="0"/>
    <x v="560"/>
    <n v="35.99"/>
    <x v="137"/>
    <x v="64"/>
    <x v="1"/>
    <x v="1"/>
    <x v="0"/>
    <x v="0"/>
    <x v="7"/>
    <x v="247"/>
    <x v="3"/>
    <x v="433"/>
  </r>
  <r>
    <x v="394"/>
    <x v="349"/>
    <x v="4"/>
    <x v="36"/>
    <x v="560"/>
    <x v="3"/>
    <x v="1"/>
    <x v="561"/>
    <n v="810.98"/>
    <x v="143"/>
    <x v="79"/>
    <x v="1"/>
    <x v="1"/>
    <x v="0"/>
    <x v="0"/>
    <x v="15"/>
    <x v="200"/>
    <x v="6"/>
    <x v="434"/>
  </r>
  <r>
    <x v="395"/>
    <x v="350"/>
    <x v="4"/>
    <x v="8"/>
    <x v="561"/>
    <x v="10"/>
    <x v="0"/>
    <x v="562"/>
    <n v="5.28"/>
    <x v="277"/>
    <x v="16"/>
    <x v="1"/>
    <x v="1"/>
    <x v="2"/>
    <x v="1"/>
    <x v="5"/>
    <x v="437"/>
    <x v="0"/>
    <x v="186"/>
  </r>
  <r>
    <x v="396"/>
    <x v="351"/>
    <x v="4"/>
    <x v="8"/>
    <x v="562"/>
    <x v="1"/>
    <x v="0"/>
    <x v="563"/>
    <n v="2.08"/>
    <x v="6"/>
    <x v="9"/>
    <x v="1"/>
    <x v="1"/>
    <x v="1"/>
    <x v="1"/>
    <x v="3"/>
    <x v="300"/>
    <x v="0"/>
    <x v="435"/>
  </r>
  <r>
    <x v="397"/>
    <x v="352"/>
    <x v="4"/>
    <x v="33"/>
    <x v="563"/>
    <x v="0"/>
    <x v="0"/>
    <x v="564"/>
    <n v="5.98"/>
    <x v="6"/>
    <x v="105"/>
    <x v="1"/>
    <x v="1"/>
    <x v="1"/>
    <x v="1"/>
    <x v="3"/>
    <x v="438"/>
    <x v="0"/>
    <x v="436"/>
  </r>
  <r>
    <x v="397"/>
    <x v="352"/>
    <x v="4"/>
    <x v="3"/>
    <x v="564"/>
    <x v="1"/>
    <x v="0"/>
    <x v="565"/>
    <n v="60.65"/>
    <x v="278"/>
    <x v="105"/>
    <x v="1"/>
    <x v="1"/>
    <x v="1"/>
    <x v="2"/>
    <x v="9"/>
    <x v="439"/>
    <x v="4"/>
    <x v="437"/>
  </r>
  <r>
    <x v="398"/>
    <x v="353"/>
    <x v="4"/>
    <x v="37"/>
    <x v="565"/>
    <x v="9"/>
    <x v="0"/>
    <x v="566"/>
    <n v="5.98"/>
    <x v="6"/>
    <x v="25"/>
    <x v="1"/>
    <x v="1"/>
    <x v="0"/>
    <x v="1"/>
    <x v="3"/>
    <x v="438"/>
    <x v="0"/>
    <x v="438"/>
  </r>
  <r>
    <x v="399"/>
    <x v="97"/>
    <x v="2"/>
    <x v="12"/>
    <x v="566"/>
    <x v="0"/>
    <x v="1"/>
    <x v="567"/>
    <n v="400.97"/>
    <x v="279"/>
    <x v="106"/>
    <x v="1"/>
    <x v="1"/>
    <x v="2"/>
    <x v="0"/>
    <x v="15"/>
    <x v="440"/>
    <x v="2"/>
    <x v="117"/>
  </r>
  <r>
    <x v="400"/>
    <x v="42"/>
    <x v="3"/>
    <x v="49"/>
    <x v="567"/>
    <x v="3"/>
    <x v="0"/>
    <x v="568"/>
    <n v="9.68"/>
    <x v="77"/>
    <x v="64"/>
    <x v="1"/>
    <x v="1"/>
    <x v="0"/>
    <x v="1"/>
    <x v="5"/>
    <x v="441"/>
    <x v="3"/>
    <x v="52"/>
  </r>
  <r>
    <x v="400"/>
    <x v="42"/>
    <x v="3"/>
    <x v="42"/>
    <x v="568"/>
    <x v="10"/>
    <x v="2"/>
    <x v="569"/>
    <n v="3.78"/>
    <x v="280"/>
    <x v="64"/>
    <x v="1"/>
    <x v="1"/>
    <x v="0"/>
    <x v="1"/>
    <x v="11"/>
    <x v="442"/>
    <x v="3"/>
    <x v="439"/>
  </r>
  <r>
    <x v="401"/>
    <x v="112"/>
    <x v="1"/>
    <x v="34"/>
    <x v="569"/>
    <x v="7"/>
    <x v="1"/>
    <x v="570"/>
    <n v="70.89"/>
    <x v="281"/>
    <x v="93"/>
    <x v="1"/>
    <x v="1"/>
    <x v="3"/>
    <x v="2"/>
    <x v="2"/>
    <x v="443"/>
    <x v="2"/>
    <x v="133"/>
  </r>
  <r>
    <x v="402"/>
    <x v="354"/>
    <x v="4"/>
    <x v="11"/>
    <x v="570"/>
    <x v="9"/>
    <x v="0"/>
    <x v="571"/>
    <n v="34.76"/>
    <x v="110"/>
    <x v="40"/>
    <x v="1"/>
    <x v="1"/>
    <x v="2"/>
    <x v="1"/>
    <x v="6"/>
    <x v="159"/>
    <x v="0"/>
    <x v="440"/>
  </r>
  <r>
    <x v="403"/>
    <x v="355"/>
    <x v="2"/>
    <x v="10"/>
    <x v="571"/>
    <x v="7"/>
    <x v="2"/>
    <x v="572"/>
    <n v="65.989999999999995"/>
    <x v="185"/>
    <x v="15"/>
    <x v="1"/>
    <x v="1"/>
    <x v="2"/>
    <x v="0"/>
    <x v="7"/>
    <x v="263"/>
    <x v="0"/>
    <x v="441"/>
  </r>
  <r>
    <x v="403"/>
    <x v="355"/>
    <x v="2"/>
    <x v="23"/>
    <x v="572"/>
    <x v="2"/>
    <x v="2"/>
    <x v="573"/>
    <n v="195.99"/>
    <x v="233"/>
    <x v="15"/>
    <x v="1"/>
    <x v="1"/>
    <x v="2"/>
    <x v="0"/>
    <x v="7"/>
    <x v="444"/>
    <x v="0"/>
    <x v="442"/>
  </r>
  <r>
    <x v="404"/>
    <x v="356"/>
    <x v="2"/>
    <x v="35"/>
    <x v="573"/>
    <x v="8"/>
    <x v="1"/>
    <x v="574"/>
    <n v="320.98"/>
    <x v="282"/>
    <x v="102"/>
    <x v="1"/>
    <x v="1"/>
    <x v="0"/>
    <x v="2"/>
    <x v="14"/>
    <x v="445"/>
    <x v="6"/>
    <x v="439"/>
  </r>
  <r>
    <x v="404"/>
    <x v="356"/>
    <x v="2"/>
    <x v="0"/>
    <x v="574"/>
    <x v="1"/>
    <x v="0"/>
    <x v="575"/>
    <n v="3.28"/>
    <x v="181"/>
    <x v="102"/>
    <x v="1"/>
    <x v="1"/>
    <x v="0"/>
    <x v="1"/>
    <x v="1"/>
    <x v="318"/>
    <x v="3"/>
    <x v="443"/>
  </r>
  <r>
    <x v="404"/>
    <x v="356"/>
    <x v="2"/>
    <x v="47"/>
    <x v="575"/>
    <x v="2"/>
    <x v="0"/>
    <x v="576"/>
    <n v="20.99"/>
    <x v="106"/>
    <x v="102"/>
    <x v="1"/>
    <x v="1"/>
    <x v="0"/>
    <x v="0"/>
    <x v="7"/>
    <x v="446"/>
    <x v="1"/>
    <x v="439"/>
  </r>
  <r>
    <x v="405"/>
    <x v="357"/>
    <x v="0"/>
    <x v="42"/>
    <x v="576"/>
    <x v="9"/>
    <x v="2"/>
    <x v="577"/>
    <n v="16.48"/>
    <x v="10"/>
    <x v="33"/>
    <x v="1"/>
    <x v="1"/>
    <x v="0"/>
    <x v="0"/>
    <x v="0"/>
    <x v="181"/>
    <x v="1"/>
    <x v="444"/>
  </r>
  <r>
    <x v="405"/>
    <x v="357"/>
    <x v="0"/>
    <x v="36"/>
    <x v="577"/>
    <x v="1"/>
    <x v="0"/>
    <x v="578"/>
    <n v="3.38"/>
    <x v="283"/>
    <x v="33"/>
    <x v="1"/>
    <x v="1"/>
    <x v="0"/>
    <x v="1"/>
    <x v="1"/>
    <x v="447"/>
    <x v="3"/>
    <x v="444"/>
  </r>
  <r>
    <x v="406"/>
    <x v="42"/>
    <x v="4"/>
    <x v="5"/>
    <x v="578"/>
    <x v="4"/>
    <x v="1"/>
    <x v="579"/>
    <n v="212.6"/>
    <x v="284"/>
    <x v="3"/>
    <x v="1"/>
    <x v="1"/>
    <x v="1"/>
    <x v="2"/>
    <x v="2"/>
    <x v="448"/>
    <x v="2"/>
    <x v="52"/>
  </r>
  <r>
    <x v="407"/>
    <x v="358"/>
    <x v="0"/>
    <x v="23"/>
    <x v="579"/>
    <x v="3"/>
    <x v="0"/>
    <x v="580"/>
    <n v="19.98"/>
    <x v="285"/>
    <x v="42"/>
    <x v="1"/>
    <x v="1"/>
    <x v="3"/>
    <x v="2"/>
    <x v="9"/>
    <x v="449"/>
    <x v="0"/>
    <x v="445"/>
  </r>
  <r>
    <x v="408"/>
    <x v="359"/>
    <x v="3"/>
    <x v="31"/>
    <x v="580"/>
    <x v="4"/>
    <x v="0"/>
    <x v="581"/>
    <n v="9.77"/>
    <x v="286"/>
    <x v="15"/>
    <x v="1"/>
    <x v="1"/>
    <x v="2"/>
    <x v="2"/>
    <x v="9"/>
    <x v="450"/>
    <x v="4"/>
    <x v="446"/>
  </r>
  <r>
    <x v="409"/>
    <x v="257"/>
    <x v="1"/>
    <x v="46"/>
    <x v="581"/>
    <x v="6"/>
    <x v="0"/>
    <x v="582"/>
    <n v="33.29"/>
    <x v="10"/>
    <x v="107"/>
    <x v="1"/>
    <x v="1"/>
    <x v="1"/>
    <x v="0"/>
    <x v="0"/>
    <x v="451"/>
    <x v="1"/>
    <x v="310"/>
  </r>
  <r>
    <x v="410"/>
    <x v="360"/>
    <x v="3"/>
    <x v="37"/>
    <x v="582"/>
    <x v="6"/>
    <x v="0"/>
    <x v="583"/>
    <n v="37.94"/>
    <x v="287"/>
    <x v="79"/>
    <x v="1"/>
    <x v="1"/>
    <x v="0"/>
    <x v="1"/>
    <x v="5"/>
    <x v="452"/>
    <x v="3"/>
    <x v="447"/>
  </r>
  <r>
    <x v="411"/>
    <x v="361"/>
    <x v="2"/>
    <x v="4"/>
    <x v="583"/>
    <x v="9"/>
    <x v="0"/>
    <x v="584"/>
    <n v="8.6"/>
    <x v="288"/>
    <x v="47"/>
    <x v="1"/>
    <x v="1"/>
    <x v="0"/>
    <x v="1"/>
    <x v="3"/>
    <x v="453"/>
    <x v="0"/>
    <x v="160"/>
  </r>
  <r>
    <x v="412"/>
    <x v="362"/>
    <x v="0"/>
    <x v="5"/>
    <x v="584"/>
    <x v="8"/>
    <x v="0"/>
    <x v="585"/>
    <n v="5.18"/>
    <x v="123"/>
    <x v="108"/>
    <x v="1"/>
    <x v="1"/>
    <x v="0"/>
    <x v="1"/>
    <x v="3"/>
    <x v="454"/>
    <x v="0"/>
    <x v="448"/>
  </r>
  <r>
    <x v="413"/>
    <x v="363"/>
    <x v="2"/>
    <x v="48"/>
    <x v="585"/>
    <x v="7"/>
    <x v="0"/>
    <x v="586"/>
    <n v="44.01"/>
    <x v="124"/>
    <x v="109"/>
    <x v="1"/>
    <x v="1"/>
    <x v="3"/>
    <x v="1"/>
    <x v="13"/>
    <x v="455"/>
    <x v="0"/>
    <x v="449"/>
  </r>
  <r>
    <x v="413"/>
    <x v="363"/>
    <x v="2"/>
    <x v="33"/>
    <x v="586"/>
    <x v="0"/>
    <x v="0"/>
    <x v="587"/>
    <n v="4.0599999999999996"/>
    <x v="289"/>
    <x v="109"/>
    <x v="1"/>
    <x v="1"/>
    <x v="3"/>
    <x v="1"/>
    <x v="13"/>
    <x v="456"/>
    <x v="0"/>
    <x v="450"/>
  </r>
  <r>
    <x v="413"/>
    <x v="363"/>
    <x v="2"/>
    <x v="0"/>
    <x v="587"/>
    <x v="8"/>
    <x v="0"/>
    <x v="588"/>
    <n v="1.26"/>
    <x v="16"/>
    <x v="109"/>
    <x v="1"/>
    <x v="1"/>
    <x v="3"/>
    <x v="1"/>
    <x v="11"/>
    <x v="265"/>
    <x v="3"/>
    <x v="449"/>
  </r>
  <r>
    <x v="414"/>
    <x v="364"/>
    <x v="0"/>
    <x v="12"/>
    <x v="588"/>
    <x v="4"/>
    <x v="0"/>
    <x v="589"/>
    <n v="22.84"/>
    <x v="290"/>
    <x v="96"/>
    <x v="1"/>
    <x v="1"/>
    <x v="0"/>
    <x v="1"/>
    <x v="5"/>
    <x v="457"/>
    <x v="0"/>
    <x v="451"/>
  </r>
  <r>
    <x v="415"/>
    <x v="365"/>
    <x v="2"/>
    <x v="21"/>
    <x v="589"/>
    <x v="0"/>
    <x v="0"/>
    <x v="590"/>
    <n v="6.48"/>
    <x v="260"/>
    <x v="54"/>
    <x v="1"/>
    <x v="1"/>
    <x v="3"/>
    <x v="1"/>
    <x v="5"/>
    <x v="458"/>
    <x v="0"/>
    <x v="452"/>
  </r>
  <r>
    <x v="415"/>
    <x v="365"/>
    <x v="2"/>
    <x v="43"/>
    <x v="590"/>
    <x v="6"/>
    <x v="0"/>
    <x v="591"/>
    <n v="4.84"/>
    <x v="280"/>
    <x v="54"/>
    <x v="1"/>
    <x v="1"/>
    <x v="3"/>
    <x v="1"/>
    <x v="1"/>
    <x v="459"/>
    <x v="3"/>
    <x v="452"/>
  </r>
  <r>
    <x v="415"/>
    <x v="365"/>
    <x v="2"/>
    <x v="24"/>
    <x v="591"/>
    <x v="8"/>
    <x v="0"/>
    <x v="592"/>
    <n v="85.99"/>
    <x v="22"/>
    <x v="54"/>
    <x v="1"/>
    <x v="1"/>
    <x v="3"/>
    <x v="0"/>
    <x v="7"/>
    <x v="149"/>
    <x v="3"/>
    <x v="452"/>
  </r>
  <r>
    <x v="416"/>
    <x v="366"/>
    <x v="2"/>
    <x v="1"/>
    <x v="592"/>
    <x v="5"/>
    <x v="0"/>
    <x v="593"/>
    <n v="36.65"/>
    <x v="291"/>
    <x v="105"/>
    <x v="1"/>
    <x v="1"/>
    <x v="1"/>
    <x v="2"/>
    <x v="9"/>
    <x v="460"/>
    <x v="5"/>
    <x v="453"/>
  </r>
  <r>
    <x v="417"/>
    <x v="174"/>
    <x v="2"/>
    <x v="48"/>
    <x v="593"/>
    <x v="0"/>
    <x v="0"/>
    <x v="594"/>
    <n v="21.98"/>
    <x v="160"/>
    <x v="42"/>
    <x v="1"/>
    <x v="1"/>
    <x v="0"/>
    <x v="1"/>
    <x v="5"/>
    <x v="224"/>
    <x v="3"/>
    <x v="216"/>
  </r>
  <r>
    <x v="418"/>
    <x v="367"/>
    <x v="1"/>
    <x v="43"/>
    <x v="594"/>
    <x v="4"/>
    <x v="0"/>
    <x v="595"/>
    <n v="11.29"/>
    <x v="179"/>
    <x v="8"/>
    <x v="1"/>
    <x v="1"/>
    <x v="0"/>
    <x v="1"/>
    <x v="6"/>
    <x v="461"/>
    <x v="0"/>
    <x v="454"/>
  </r>
  <r>
    <x v="419"/>
    <x v="368"/>
    <x v="2"/>
    <x v="25"/>
    <x v="595"/>
    <x v="10"/>
    <x v="2"/>
    <x v="596"/>
    <n v="4.9800000000000004"/>
    <x v="141"/>
    <x v="62"/>
    <x v="1"/>
    <x v="1"/>
    <x v="0"/>
    <x v="0"/>
    <x v="0"/>
    <x v="354"/>
    <x v="1"/>
    <x v="455"/>
  </r>
  <r>
    <x v="420"/>
    <x v="66"/>
    <x v="3"/>
    <x v="47"/>
    <x v="596"/>
    <x v="4"/>
    <x v="0"/>
    <x v="597"/>
    <n v="161.55000000000001"/>
    <x v="0"/>
    <x v="99"/>
    <x v="1"/>
    <x v="1"/>
    <x v="0"/>
    <x v="1"/>
    <x v="6"/>
    <x v="216"/>
    <x v="0"/>
    <x v="449"/>
  </r>
  <r>
    <x v="421"/>
    <x v="369"/>
    <x v="1"/>
    <x v="8"/>
    <x v="597"/>
    <x v="10"/>
    <x v="0"/>
    <x v="598"/>
    <n v="15.67"/>
    <x v="126"/>
    <x v="64"/>
    <x v="1"/>
    <x v="1"/>
    <x v="0"/>
    <x v="1"/>
    <x v="4"/>
    <x v="282"/>
    <x v="0"/>
    <x v="456"/>
  </r>
  <r>
    <x v="422"/>
    <x v="370"/>
    <x v="4"/>
    <x v="46"/>
    <x v="598"/>
    <x v="1"/>
    <x v="1"/>
    <x v="599"/>
    <n v="550.98"/>
    <x v="292"/>
    <x v="26"/>
    <x v="1"/>
    <x v="1"/>
    <x v="0"/>
    <x v="2"/>
    <x v="2"/>
    <x v="462"/>
    <x v="2"/>
    <x v="457"/>
  </r>
  <r>
    <x v="423"/>
    <x v="371"/>
    <x v="2"/>
    <x v="30"/>
    <x v="599"/>
    <x v="10"/>
    <x v="0"/>
    <x v="600"/>
    <n v="4.91"/>
    <x v="14"/>
    <x v="19"/>
    <x v="1"/>
    <x v="1"/>
    <x v="3"/>
    <x v="1"/>
    <x v="8"/>
    <x v="463"/>
    <x v="0"/>
    <x v="458"/>
  </r>
  <r>
    <x v="423"/>
    <x v="371"/>
    <x v="2"/>
    <x v="22"/>
    <x v="600"/>
    <x v="1"/>
    <x v="0"/>
    <x v="601"/>
    <n v="1.82"/>
    <x v="153"/>
    <x v="19"/>
    <x v="1"/>
    <x v="1"/>
    <x v="3"/>
    <x v="1"/>
    <x v="1"/>
    <x v="464"/>
    <x v="3"/>
    <x v="459"/>
  </r>
  <r>
    <x v="424"/>
    <x v="372"/>
    <x v="3"/>
    <x v="2"/>
    <x v="601"/>
    <x v="4"/>
    <x v="0"/>
    <x v="602"/>
    <n v="1.98"/>
    <x v="293"/>
    <x v="96"/>
    <x v="1"/>
    <x v="1"/>
    <x v="0"/>
    <x v="1"/>
    <x v="3"/>
    <x v="465"/>
    <x v="0"/>
    <x v="54"/>
  </r>
  <r>
    <x v="425"/>
    <x v="74"/>
    <x v="2"/>
    <x v="2"/>
    <x v="602"/>
    <x v="3"/>
    <x v="0"/>
    <x v="603"/>
    <n v="46.89"/>
    <x v="221"/>
    <x v="21"/>
    <x v="1"/>
    <x v="1"/>
    <x v="3"/>
    <x v="1"/>
    <x v="13"/>
    <x v="346"/>
    <x v="4"/>
    <x v="90"/>
  </r>
  <r>
    <x v="425"/>
    <x v="74"/>
    <x v="2"/>
    <x v="47"/>
    <x v="603"/>
    <x v="4"/>
    <x v="0"/>
    <x v="604"/>
    <n v="6.64"/>
    <x v="41"/>
    <x v="21"/>
    <x v="1"/>
    <x v="1"/>
    <x v="3"/>
    <x v="2"/>
    <x v="9"/>
    <x v="62"/>
    <x v="1"/>
    <x v="460"/>
  </r>
  <r>
    <x v="426"/>
    <x v="373"/>
    <x v="4"/>
    <x v="40"/>
    <x v="604"/>
    <x v="5"/>
    <x v="0"/>
    <x v="605"/>
    <n v="17.239999999999998"/>
    <x v="294"/>
    <x v="25"/>
    <x v="1"/>
    <x v="1"/>
    <x v="3"/>
    <x v="1"/>
    <x v="16"/>
    <x v="466"/>
    <x v="1"/>
    <x v="111"/>
  </r>
  <r>
    <x v="426"/>
    <x v="373"/>
    <x v="4"/>
    <x v="45"/>
    <x v="605"/>
    <x v="0"/>
    <x v="1"/>
    <x v="606"/>
    <n v="218.75"/>
    <x v="295"/>
    <x v="25"/>
    <x v="1"/>
    <x v="1"/>
    <x v="3"/>
    <x v="2"/>
    <x v="2"/>
    <x v="467"/>
    <x v="2"/>
    <x v="260"/>
  </r>
  <r>
    <x v="426"/>
    <x v="373"/>
    <x v="4"/>
    <x v="46"/>
    <x v="606"/>
    <x v="1"/>
    <x v="0"/>
    <x v="607"/>
    <n v="209.37"/>
    <x v="105"/>
    <x v="25"/>
    <x v="1"/>
    <x v="1"/>
    <x v="3"/>
    <x v="2"/>
    <x v="2"/>
    <x v="312"/>
    <x v="5"/>
    <x v="260"/>
  </r>
  <r>
    <x v="427"/>
    <x v="374"/>
    <x v="2"/>
    <x v="45"/>
    <x v="607"/>
    <x v="1"/>
    <x v="0"/>
    <x v="608"/>
    <n v="9.11"/>
    <x v="189"/>
    <x v="25"/>
    <x v="1"/>
    <x v="1"/>
    <x v="0"/>
    <x v="1"/>
    <x v="5"/>
    <x v="275"/>
    <x v="3"/>
    <x v="298"/>
  </r>
  <r>
    <x v="428"/>
    <x v="375"/>
    <x v="1"/>
    <x v="28"/>
    <x v="608"/>
    <x v="1"/>
    <x v="0"/>
    <x v="609"/>
    <n v="178.47"/>
    <x v="0"/>
    <x v="21"/>
    <x v="1"/>
    <x v="1"/>
    <x v="3"/>
    <x v="1"/>
    <x v="6"/>
    <x v="16"/>
    <x v="0"/>
    <x v="411"/>
  </r>
  <r>
    <x v="429"/>
    <x v="376"/>
    <x v="4"/>
    <x v="26"/>
    <x v="609"/>
    <x v="9"/>
    <x v="2"/>
    <x v="610"/>
    <n v="165.2"/>
    <x v="0"/>
    <x v="75"/>
    <x v="1"/>
    <x v="1"/>
    <x v="0"/>
    <x v="1"/>
    <x v="6"/>
    <x v="22"/>
    <x v="0"/>
    <x v="461"/>
  </r>
  <r>
    <x v="430"/>
    <x v="216"/>
    <x v="2"/>
    <x v="42"/>
    <x v="610"/>
    <x v="2"/>
    <x v="1"/>
    <x v="611"/>
    <n v="140.97999999999999"/>
    <x v="276"/>
    <x v="61"/>
    <x v="1"/>
    <x v="1"/>
    <x v="2"/>
    <x v="2"/>
    <x v="10"/>
    <x v="436"/>
    <x v="2"/>
    <x v="462"/>
  </r>
  <r>
    <x v="431"/>
    <x v="377"/>
    <x v="4"/>
    <x v="13"/>
    <x v="611"/>
    <x v="1"/>
    <x v="1"/>
    <x v="612"/>
    <n v="130.97999999999999"/>
    <x v="26"/>
    <x v="73"/>
    <x v="1"/>
    <x v="1"/>
    <x v="2"/>
    <x v="2"/>
    <x v="10"/>
    <x v="33"/>
    <x v="2"/>
    <x v="463"/>
  </r>
  <r>
    <x v="432"/>
    <x v="378"/>
    <x v="2"/>
    <x v="1"/>
    <x v="612"/>
    <x v="10"/>
    <x v="0"/>
    <x v="613"/>
    <n v="7.64"/>
    <x v="126"/>
    <x v="55"/>
    <x v="1"/>
    <x v="1"/>
    <x v="0"/>
    <x v="1"/>
    <x v="4"/>
    <x v="428"/>
    <x v="0"/>
    <x v="464"/>
  </r>
  <r>
    <x v="433"/>
    <x v="379"/>
    <x v="1"/>
    <x v="22"/>
    <x v="613"/>
    <x v="6"/>
    <x v="0"/>
    <x v="614"/>
    <n v="90.24"/>
    <x v="22"/>
    <x v="54"/>
    <x v="1"/>
    <x v="1"/>
    <x v="3"/>
    <x v="1"/>
    <x v="13"/>
    <x v="468"/>
    <x v="0"/>
    <x v="10"/>
  </r>
  <r>
    <x v="434"/>
    <x v="380"/>
    <x v="4"/>
    <x v="7"/>
    <x v="614"/>
    <x v="4"/>
    <x v="0"/>
    <x v="615"/>
    <n v="2.94"/>
    <x v="16"/>
    <x v="67"/>
    <x v="1"/>
    <x v="1"/>
    <x v="2"/>
    <x v="1"/>
    <x v="1"/>
    <x v="469"/>
    <x v="3"/>
    <x v="37"/>
  </r>
  <r>
    <x v="435"/>
    <x v="381"/>
    <x v="0"/>
    <x v="25"/>
    <x v="615"/>
    <x v="5"/>
    <x v="0"/>
    <x v="616"/>
    <n v="3.85"/>
    <x v="16"/>
    <x v="49"/>
    <x v="1"/>
    <x v="1"/>
    <x v="0"/>
    <x v="1"/>
    <x v="1"/>
    <x v="470"/>
    <x v="3"/>
    <x v="465"/>
  </r>
  <r>
    <x v="436"/>
    <x v="382"/>
    <x v="3"/>
    <x v="26"/>
    <x v="616"/>
    <x v="3"/>
    <x v="2"/>
    <x v="617"/>
    <n v="19.23"/>
    <x v="296"/>
    <x v="100"/>
    <x v="1"/>
    <x v="1"/>
    <x v="0"/>
    <x v="2"/>
    <x v="9"/>
    <x v="471"/>
    <x v="1"/>
    <x v="466"/>
  </r>
  <r>
    <x v="437"/>
    <x v="383"/>
    <x v="0"/>
    <x v="24"/>
    <x v="617"/>
    <x v="5"/>
    <x v="0"/>
    <x v="618"/>
    <n v="4.9800000000000004"/>
    <x v="173"/>
    <x v="50"/>
    <x v="1"/>
    <x v="1"/>
    <x v="2"/>
    <x v="1"/>
    <x v="5"/>
    <x v="245"/>
    <x v="0"/>
    <x v="200"/>
  </r>
  <r>
    <x v="437"/>
    <x v="383"/>
    <x v="0"/>
    <x v="1"/>
    <x v="618"/>
    <x v="5"/>
    <x v="2"/>
    <x v="619"/>
    <n v="2.94"/>
    <x v="297"/>
    <x v="50"/>
    <x v="1"/>
    <x v="1"/>
    <x v="2"/>
    <x v="1"/>
    <x v="1"/>
    <x v="472"/>
    <x v="3"/>
    <x v="168"/>
  </r>
  <r>
    <x v="438"/>
    <x v="384"/>
    <x v="1"/>
    <x v="31"/>
    <x v="619"/>
    <x v="2"/>
    <x v="0"/>
    <x v="620"/>
    <n v="4.9800000000000004"/>
    <x v="46"/>
    <x v="86"/>
    <x v="1"/>
    <x v="1"/>
    <x v="1"/>
    <x v="1"/>
    <x v="5"/>
    <x v="473"/>
    <x v="3"/>
    <x v="96"/>
  </r>
  <r>
    <x v="439"/>
    <x v="385"/>
    <x v="1"/>
    <x v="22"/>
    <x v="620"/>
    <x v="2"/>
    <x v="0"/>
    <x v="621"/>
    <n v="5.81"/>
    <x v="298"/>
    <x v="3"/>
    <x v="1"/>
    <x v="1"/>
    <x v="1"/>
    <x v="1"/>
    <x v="11"/>
    <x v="474"/>
    <x v="3"/>
    <x v="107"/>
  </r>
  <r>
    <x v="440"/>
    <x v="386"/>
    <x v="1"/>
    <x v="41"/>
    <x v="621"/>
    <x v="6"/>
    <x v="0"/>
    <x v="477"/>
    <n v="2.52"/>
    <x v="86"/>
    <x v="72"/>
    <x v="1"/>
    <x v="1"/>
    <x v="0"/>
    <x v="1"/>
    <x v="1"/>
    <x v="118"/>
    <x v="3"/>
    <x v="467"/>
  </r>
  <r>
    <x v="441"/>
    <x v="23"/>
    <x v="1"/>
    <x v="24"/>
    <x v="622"/>
    <x v="9"/>
    <x v="1"/>
    <x v="622"/>
    <n v="90.98"/>
    <x v="147"/>
    <x v="97"/>
    <x v="1"/>
    <x v="1"/>
    <x v="1"/>
    <x v="2"/>
    <x v="14"/>
    <x v="475"/>
    <x v="6"/>
    <x v="323"/>
  </r>
  <r>
    <x v="442"/>
    <x v="387"/>
    <x v="2"/>
    <x v="21"/>
    <x v="623"/>
    <x v="3"/>
    <x v="1"/>
    <x v="623"/>
    <n v="348.21"/>
    <x v="174"/>
    <x v="73"/>
    <x v="1"/>
    <x v="1"/>
    <x v="3"/>
    <x v="2"/>
    <x v="2"/>
    <x v="246"/>
    <x v="2"/>
    <x v="330"/>
  </r>
  <r>
    <x v="443"/>
    <x v="109"/>
    <x v="3"/>
    <x v="37"/>
    <x v="624"/>
    <x v="2"/>
    <x v="0"/>
    <x v="624"/>
    <n v="4.91"/>
    <x v="14"/>
    <x v="61"/>
    <x v="1"/>
    <x v="1"/>
    <x v="2"/>
    <x v="1"/>
    <x v="8"/>
    <x v="463"/>
    <x v="0"/>
    <x v="468"/>
  </r>
  <r>
    <x v="444"/>
    <x v="388"/>
    <x v="3"/>
    <x v="16"/>
    <x v="625"/>
    <x v="4"/>
    <x v="0"/>
    <x v="625"/>
    <n v="11.66"/>
    <x v="1"/>
    <x v="8"/>
    <x v="1"/>
    <x v="1"/>
    <x v="0"/>
    <x v="1"/>
    <x v="1"/>
    <x v="82"/>
    <x v="1"/>
    <x v="287"/>
  </r>
  <r>
    <x v="445"/>
    <x v="389"/>
    <x v="1"/>
    <x v="48"/>
    <x v="626"/>
    <x v="7"/>
    <x v="0"/>
    <x v="626"/>
    <n v="2.88"/>
    <x v="16"/>
    <x v="6"/>
    <x v="1"/>
    <x v="1"/>
    <x v="0"/>
    <x v="1"/>
    <x v="1"/>
    <x v="357"/>
    <x v="3"/>
    <x v="469"/>
  </r>
  <r>
    <x v="446"/>
    <x v="390"/>
    <x v="0"/>
    <x v="38"/>
    <x v="627"/>
    <x v="2"/>
    <x v="2"/>
    <x v="627"/>
    <n v="2.78"/>
    <x v="6"/>
    <x v="110"/>
    <x v="1"/>
    <x v="1"/>
    <x v="2"/>
    <x v="1"/>
    <x v="3"/>
    <x v="476"/>
    <x v="0"/>
    <x v="15"/>
  </r>
  <r>
    <x v="446"/>
    <x v="390"/>
    <x v="0"/>
    <x v="9"/>
    <x v="628"/>
    <x v="8"/>
    <x v="1"/>
    <x v="628"/>
    <n v="2550.14"/>
    <x v="118"/>
    <x v="110"/>
    <x v="1"/>
    <x v="1"/>
    <x v="2"/>
    <x v="0"/>
    <x v="15"/>
    <x v="168"/>
    <x v="6"/>
    <x v="14"/>
  </r>
  <r>
    <x v="447"/>
    <x v="391"/>
    <x v="0"/>
    <x v="2"/>
    <x v="629"/>
    <x v="4"/>
    <x v="0"/>
    <x v="629"/>
    <n v="7.1"/>
    <x v="213"/>
    <x v="111"/>
    <x v="1"/>
    <x v="1"/>
    <x v="0"/>
    <x v="1"/>
    <x v="3"/>
    <x v="429"/>
    <x v="0"/>
    <x v="470"/>
  </r>
  <r>
    <x v="448"/>
    <x v="392"/>
    <x v="2"/>
    <x v="14"/>
    <x v="630"/>
    <x v="2"/>
    <x v="0"/>
    <x v="630"/>
    <n v="4.37"/>
    <x v="44"/>
    <x v="90"/>
    <x v="1"/>
    <x v="1"/>
    <x v="2"/>
    <x v="1"/>
    <x v="13"/>
    <x v="59"/>
    <x v="0"/>
    <x v="471"/>
  </r>
  <r>
    <x v="448"/>
    <x v="392"/>
    <x v="2"/>
    <x v="44"/>
    <x v="631"/>
    <x v="6"/>
    <x v="1"/>
    <x v="631"/>
    <n v="500.98"/>
    <x v="299"/>
    <x v="90"/>
    <x v="1"/>
    <x v="1"/>
    <x v="2"/>
    <x v="2"/>
    <x v="14"/>
    <x v="169"/>
    <x v="6"/>
    <x v="472"/>
  </r>
  <r>
    <x v="448"/>
    <x v="392"/>
    <x v="2"/>
    <x v="12"/>
    <x v="632"/>
    <x v="9"/>
    <x v="0"/>
    <x v="632"/>
    <n v="12.58"/>
    <x v="40"/>
    <x v="90"/>
    <x v="1"/>
    <x v="1"/>
    <x v="2"/>
    <x v="2"/>
    <x v="9"/>
    <x v="477"/>
    <x v="0"/>
    <x v="473"/>
  </r>
  <r>
    <x v="448"/>
    <x v="392"/>
    <x v="2"/>
    <x v="42"/>
    <x v="633"/>
    <x v="8"/>
    <x v="0"/>
    <x v="633"/>
    <n v="7.7"/>
    <x v="300"/>
    <x v="90"/>
    <x v="1"/>
    <x v="1"/>
    <x v="2"/>
    <x v="2"/>
    <x v="9"/>
    <x v="478"/>
    <x v="3"/>
    <x v="472"/>
  </r>
  <r>
    <x v="449"/>
    <x v="393"/>
    <x v="0"/>
    <x v="9"/>
    <x v="634"/>
    <x v="7"/>
    <x v="1"/>
    <x v="634"/>
    <n v="60.98"/>
    <x v="147"/>
    <x v="47"/>
    <x v="1"/>
    <x v="1"/>
    <x v="0"/>
    <x v="2"/>
    <x v="14"/>
    <x v="328"/>
    <x v="6"/>
    <x v="40"/>
  </r>
  <r>
    <x v="449"/>
    <x v="393"/>
    <x v="0"/>
    <x v="3"/>
    <x v="635"/>
    <x v="8"/>
    <x v="2"/>
    <x v="635"/>
    <n v="13.48"/>
    <x v="35"/>
    <x v="47"/>
    <x v="1"/>
    <x v="1"/>
    <x v="0"/>
    <x v="1"/>
    <x v="6"/>
    <x v="50"/>
    <x v="0"/>
    <x v="40"/>
  </r>
  <r>
    <x v="450"/>
    <x v="394"/>
    <x v="3"/>
    <x v="48"/>
    <x v="636"/>
    <x v="4"/>
    <x v="2"/>
    <x v="636"/>
    <n v="18.97"/>
    <x v="222"/>
    <x v="23"/>
    <x v="1"/>
    <x v="1"/>
    <x v="2"/>
    <x v="1"/>
    <x v="5"/>
    <x v="347"/>
    <x v="0"/>
    <x v="474"/>
  </r>
  <r>
    <x v="451"/>
    <x v="395"/>
    <x v="3"/>
    <x v="17"/>
    <x v="637"/>
    <x v="3"/>
    <x v="0"/>
    <x v="637"/>
    <n v="155.99"/>
    <x v="301"/>
    <x v="23"/>
    <x v="1"/>
    <x v="1"/>
    <x v="2"/>
    <x v="0"/>
    <x v="7"/>
    <x v="479"/>
    <x v="0"/>
    <x v="475"/>
  </r>
  <r>
    <x v="452"/>
    <x v="257"/>
    <x v="1"/>
    <x v="10"/>
    <x v="638"/>
    <x v="6"/>
    <x v="0"/>
    <x v="638"/>
    <n v="22.38"/>
    <x v="212"/>
    <x v="104"/>
    <x v="1"/>
    <x v="1"/>
    <x v="1"/>
    <x v="1"/>
    <x v="3"/>
    <x v="327"/>
    <x v="0"/>
    <x v="476"/>
  </r>
  <r>
    <x v="453"/>
    <x v="396"/>
    <x v="3"/>
    <x v="26"/>
    <x v="639"/>
    <x v="1"/>
    <x v="1"/>
    <x v="639"/>
    <n v="100.98"/>
    <x v="214"/>
    <x v="93"/>
    <x v="1"/>
    <x v="1"/>
    <x v="3"/>
    <x v="2"/>
    <x v="10"/>
    <x v="332"/>
    <x v="2"/>
    <x v="477"/>
  </r>
  <r>
    <x v="454"/>
    <x v="300"/>
    <x v="4"/>
    <x v="1"/>
    <x v="640"/>
    <x v="9"/>
    <x v="0"/>
    <x v="640"/>
    <n v="30.97"/>
    <x v="13"/>
    <x v="62"/>
    <x v="1"/>
    <x v="1"/>
    <x v="0"/>
    <x v="0"/>
    <x v="0"/>
    <x v="34"/>
    <x v="0"/>
    <x v="368"/>
  </r>
  <r>
    <x v="455"/>
    <x v="29"/>
    <x v="2"/>
    <x v="14"/>
    <x v="641"/>
    <x v="5"/>
    <x v="0"/>
    <x v="641"/>
    <n v="110.98"/>
    <x v="24"/>
    <x v="100"/>
    <x v="1"/>
    <x v="1"/>
    <x v="0"/>
    <x v="2"/>
    <x v="9"/>
    <x v="480"/>
    <x v="4"/>
    <x v="37"/>
  </r>
  <r>
    <x v="455"/>
    <x v="29"/>
    <x v="2"/>
    <x v="8"/>
    <x v="642"/>
    <x v="2"/>
    <x v="0"/>
    <x v="642"/>
    <n v="4.9800000000000004"/>
    <x v="302"/>
    <x v="100"/>
    <x v="1"/>
    <x v="1"/>
    <x v="0"/>
    <x v="1"/>
    <x v="5"/>
    <x v="481"/>
    <x v="0"/>
    <x v="37"/>
  </r>
  <r>
    <x v="455"/>
    <x v="29"/>
    <x v="2"/>
    <x v="33"/>
    <x v="643"/>
    <x v="3"/>
    <x v="0"/>
    <x v="643"/>
    <n v="1.81"/>
    <x v="303"/>
    <x v="100"/>
    <x v="1"/>
    <x v="1"/>
    <x v="0"/>
    <x v="1"/>
    <x v="11"/>
    <x v="482"/>
    <x v="3"/>
    <x v="478"/>
  </r>
  <r>
    <x v="456"/>
    <x v="397"/>
    <x v="3"/>
    <x v="44"/>
    <x v="644"/>
    <x v="6"/>
    <x v="0"/>
    <x v="644"/>
    <n v="8.56"/>
    <x v="40"/>
    <x v="72"/>
    <x v="1"/>
    <x v="1"/>
    <x v="0"/>
    <x v="1"/>
    <x v="5"/>
    <x v="483"/>
    <x v="3"/>
    <x v="479"/>
  </r>
  <r>
    <x v="457"/>
    <x v="398"/>
    <x v="1"/>
    <x v="40"/>
    <x v="645"/>
    <x v="5"/>
    <x v="0"/>
    <x v="645"/>
    <n v="12.28"/>
    <x v="208"/>
    <x v="89"/>
    <x v="1"/>
    <x v="1"/>
    <x v="2"/>
    <x v="1"/>
    <x v="5"/>
    <x v="319"/>
    <x v="0"/>
    <x v="399"/>
  </r>
  <r>
    <x v="457"/>
    <x v="398"/>
    <x v="1"/>
    <x v="43"/>
    <x v="646"/>
    <x v="8"/>
    <x v="0"/>
    <x v="646"/>
    <n v="65.989999999999995"/>
    <x v="185"/>
    <x v="89"/>
    <x v="1"/>
    <x v="1"/>
    <x v="2"/>
    <x v="0"/>
    <x v="7"/>
    <x v="263"/>
    <x v="0"/>
    <x v="480"/>
  </r>
  <r>
    <x v="458"/>
    <x v="399"/>
    <x v="3"/>
    <x v="35"/>
    <x v="647"/>
    <x v="5"/>
    <x v="1"/>
    <x v="647"/>
    <n v="212.6"/>
    <x v="304"/>
    <x v="15"/>
    <x v="1"/>
    <x v="1"/>
    <x v="2"/>
    <x v="2"/>
    <x v="2"/>
    <x v="448"/>
    <x v="2"/>
    <x v="481"/>
  </r>
  <r>
    <x v="458"/>
    <x v="399"/>
    <x v="3"/>
    <x v="29"/>
    <x v="648"/>
    <x v="8"/>
    <x v="0"/>
    <x v="648"/>
    <n v="55.99"/>
    <x v="64"/>
    <x v="15"/>
    <x v="1"/>
    <x v="1"/>
    <x v="2"/>
    <x v="0"/>
    <x v="7"/>
    <x v="235"/>
    <x v="1"/>
    <x v="482"/>
  </r>
  <r>
    <x v="459"/>
    <x v="400"/>
    <x v="0"/>
    <x v="48"/>
    <x v="649"/>
    <x v="1"/>
    <x v="0"/>
    <x v="649"/>
    <n v="3.08"/>
    <x v="22"/>
    <x v="6"/>
    <x v="1"/>
    <x v="1"/>
    <x v="0"/>
    <x v="1"/>
    <x v="8"/>
    <x v="484"/>
    <x v="0"/>
    <x v="483"/>
  </r>
  <r>
    <x v="459"/>
    <x v="400"/>
    <x v="0"/>
    <x v="0"/>
    <x v="650"/>
    <x v="1"/>
    <x v="0"/>
    <x v="650"/>
    <n v="65.989999999999995"/>
    <x v="301"/>
    <x v="6"/>
    <x v="1"/>
    <x v="1"/>
    <x v="0"/>
    <x v="0"/>
    <x v="7"/>
    <x v="485"/>
    <x v="0"/>
    <x v="147"/>
  </r>
  <r>
    <x v="460"/>
    <x v="401"/>
    <x v="0"/>
    <x v="25"/>
    <x v="651"/>
    <x v="7"/>
    <x v="1"/>
    <x v="651"/>
    <n v="130.97999999999999"/>
    <x v="147"/>
    <x v="103"/>
    <x v="1"/>
    <x v="1"/>
    <x v="3"/>
    <x v="2"/>
    <x v="14"/>
    <x v="206"/>
    <x v="6"/>
    <x v="484"/>
  </r>
  <r>
    <x v="461"/>
    <x v="402"/>
    <x v="2"/>
    <x v="46"/>
    <x v="652"/>
    <x v="9"/>
    <x v="0"/>
    <x v="652"/>
    <n v="35.409999999999997"/>
    <x v="10"/>
    <x v="80"/>
    <x v="1"/>
    <x v="1"/>
    <x v="3"/>
    <x v="0"/>
    <x v="0"/>
    <x v="271"/>
    <x v="1"/>
    <x v="485"/>
  </r>
  <r>
    <x v="461"/>
    <x v="402"/>
    <x v="2"/>
    <x v="13"/>
    <x v="653"/>
    <x v="6"/>
    <x v="0"/>
    <x v="653"/>
    <n v="42.76"/>
    <x v="191"/>
    <x v="80"/>
    <x v="1"/>
    <x v="1"/>
    <x v="3"/>
    <x v="1"/>
    <x v="6"/>
    <x v="486"/>
    <x v="0"/>
    <x v="139"/>
  </r>
  <r>
    <x v="462"/>
    <x v="403"/>
    <x v="0"/>
    <x v="33"/>
    <x v="654"/>
    <x v="4"/>
    <x v="1"/>
    <x v="654"/>
    <n v="320.98"/>
    <x v="282"/>
    <x v="79"/>
    <x v="1"/>
    <x v="1"/>
    <x v="0"/>
    <x v="2"/>
    <x v="14"/>
    <x v="445"/>
    <x v="6"/>
    <x v="486"/>
  </r>
  <r>
    <x v="463"/>
    <x v="404"/>
    <x v="1"/>
    <x v="40"/>
    <x v="655"/>
    <x v="5"/>
    <x v="0"/>
    <x v="655"/>
    <n v="22.98"/>
    <x v="10"/>
    <x v="111"/>
    <x v="1"/>
    <x v="1"/>
    <x v="0"/>
    <x v="0"/>
    <x v="0"/>
    <x v="487"/>
    <x v="1"/>
    <x v="487"/>
  </r>
  <r>
    <x v="463"/>
    <x v="404"/>
    <x v="1"/>
    <x v="4"/>
    <x v="656"/>
    <x v="9"/>
    <x v="0"/>
    <x v="656"/>
    <n v="5.68"/>
    <x v="126"/>
    <x v="111"/>
    <x v="1"/>
    <x v="1"/>
    <x v="0"/>
    <x v="1"/>
    <x v="4"/>
    <x v="488"/>
    <x v="0"/>
    <x v="487"/>
  </r>
  <r>
    <x v="464"/>
    <x v="405"/>
    <x v="2"/>
    <x v="31"/>
    <x v="657"/>
    <x v="0"/>
    <x v="0"/>
    <x v="657"/>
    <n v="40.99"/>
    <x v="305"/>
    <x v="72"/>
    <x v="1"/>
    <x v="1"/>
    <x v="0"/>
    <x v="0"/>
    <x v="15"/>
    <x v="489"/>
    <x v="0"/>
    <x v="488"/>
  </r>
  <r>
    <x v="465"/>
    <x v="406"/>
    <x v="2"/>
    <x v="16"/>
    <x v="658"/>
    <x v="8"/>
    <x v="0"/>
    <x v="658"/>
    <n v="20.95"/>
    <x v="137"/>
    <x v="4"/>
    <x v="1"/>
    <x v="1"/>
    <x v="2"/>
    <x v="0"/>
    <x v="0"/>
    <x v="490"/>
    <x v="0"/>
    <x v="489"/>
  </r>
  <r>
    <x v="465"/>
    <x v="406"/>
    <x v="2"/>
    <x v="30"/>
    <x v="659"/>
    <x v="9"/>
    <x v="0"/>
    <x v="659"/>
    <n v="9.11"/>
    <x v="189"/>
    <x v="4"/>
    <x v="1"/>
    <x v="1"/>
    <x v="2"/>
    <x v="1"/>
    <x v="5"/>
    <x v="275"/>
    <x v="3"/>
    <x v="489"/>
  </r>
  <r>
    <x v="466"/>
    <x v="407"/>
    <x v="1"/>
    <x v="29"/>
    <x v="660"/>
    <x v="5"/>
    <x v="0"/>
    <x v="660"/>
    <n v="9.49"/>
    <x v="236"/>
    <x v="93"/>
    <x v="1"/>
    <x v="1"/>
    <x v="3"/>
    <x v="0"/>
    <x v="15"/>
    <x v="362"/>
    <x v="4"/>
    <x v="490"/>
  </r>
  <r>
    <x v="467"/>
    <x v="408"/>
    <x v="1"/>
    <x v="16"/>
    <x v="661"/>
    <x v="10"/>
    <x v="0"/>
    <x v="661"/>
    <n v="4.8899999999999997"/>
    <x v="150"/>
    <x v="3"/>
    <x v="1"/>
    <x v="1"/>
    <x v="1"/>
    <x v="1"/>
    <x v="3"/>
    <x v="491"/>
    <x v="0"/>
    <x v="491"/>
  </r>
  <r>
    <x v="468"/>
    <x v="53"/>
    <x v="2"/>
    <x v="18"/>
    <x v="662"/>
    <x v="6"/>
    <x v="0"/>
    <x v="662"/>
    <n v="10.98"/>
    <x v="306"/>
    <x v="64"/>
    <x v="1"/>
    <x v="1"/>
    <x v="0"/>
    <x v="1"/>
    <x v="4"/>
    <x v="492"/>
    <x v="0"/>
    <x v="492"/>
  </r>
  <r>
    <x v="469"/>
    <x v="148"/>
    <x v="0"/>
    <x v="37"/>
    <x v="663"/>
    <x v="4"/>
    <x v="0"/>
    <x v="663"/>
    <n v="10.91"/>
    <x v="168"/>
    <x v="26"/>
    <x v="1"/>
    <x v="1"/>
    <x v="1"/>
    <x v="1"/>
    <x v="3"/>
    <x v="493"/>
    <x v="0"/>
    <x v="179"/>
  </r>
  <r>
    <x v="470"/>
    <x v="409"/>
    <x v="0"/>
    <x v="43"/>
    <x v="664"/>
    <x v="1"/>
    <x v="0"/>
    <x v="664"/>
    <n v="3.14"/>
    <x v="307"/>
    <x v="112"/>
    <x v="1"/>
    <x v="1"/>
    <x v="1"/>
    <x v="1"/>
    <x v="16"/>
    <x v="494"/>
    <x v="3"/>
    <x v="493"/>
  </r>
  <r>
    <x v="471"/>
    <x v="294"/>
    <x v="2"/>
    <x v="27"/>
    <x v="665"/>
    <x v="0"/>
    <x v="0"/>
    <x v="665"/>
    <n v="4.9800000000000004"/>
    <x v="308"/>
    <x v="74"/>
    <x v="1"/>
    <x v="1"/>
    <x v="2"/>
    <x v="1"/>
    <x v="8"/>
    <x v="495"/>
    <x v="0"/>
    <x v="494"/>
  </r>
  <r>
    <x v="472"/>
    <x v="410"/>
    <x v="3"/>
    <x v="4"/>
    <x v="666"/>
    <x v="7"/>
    <x v="1"/>
    <x v="666"/>
    <n v="270.97000000000003"/>
    <x v="152"/>
    <x v="11"/>
    <x v="1"/>
    <x v="1"/>
    <x v="1"/>
    <x v="0"/>
    <x v="15"/>
    <x v="211"/>
    <x v="6"/>
    <x v="495"/>
  </r>
  <r>
    <x v="473"/>
    <x v="411"/>
    <x v="2"/>
    <x v="22"/>
    <x v="667"/>
    <x v="1"/>
    <x v="0"/>
    <x v="667"/>
    <n v="21.38"/>
    <x v="1"/>
    <x v="61"/>
    <x v="1"/>
    <x v="1"/>
    <x v="2"/>
    <x v="1"/>
    <x v="1"/>
    <x v="197"/>
    <x v="1"/>
    <x v="456"/>
  </r>
  <r>
    <x v="474"/>
    <x v="412"/>
    <x v="1"/>
    <x v="7"/>
    <x v="668"/>
    <x v="5"/>
    <x v="0"/>
    <x v="668"/>
    <n v="22.98"/>
    <x v="10"/>
    <x v="11"/>
    <x v="1"/>
    <x v="1"/>
    <x v="1"/>
    <x v="0"/>
    <x v="0"/>
    <x v="487"/>
    <x v="1"/>
    <x v="409"/>
  </r>
  <r>
    <x v="475"/>
    <x v="413"/>
    <x v="4"/>
    <x v="47"/>
    <x v="669"/>
    <x v="4"/>
    <x v="0"/>
    <x v="669"/>
    <n v="18.84"/>
    <x v="309"/>
    <x v="99"/>
    <x v="1"/>
    <x v="1"/>
    <x v="0"/>
    <x v="2"/>
    <x v="9"/>
    <x v="496"/>
    <x v="3"/>
    <x v="496"/>
  </r>
  <r>
    <x v="476"/>
    <x v="414"/>
    <x v="3"/>
    <x v="38"/>
    <x v="670"/>
    <x v="7"/>
    <x v="0"/>
    <x v="670"/>
    <n v="11.58"/>
    <x v="224"/>
    <x v="18"/>
    <x v="1"/>
    <x v="1"/>
    <x v="1"/>
    <x v="1"/>
    <x v="4"/>
    <x v="230"/>
    <x v="0"/>
    <x v="247"/>
  </r>
  <r>
    <x v="476"/>
    <x v="414"/>
    <x v="3"/>
    <x v="28"/>
    <x v="671"/>
    <x v="7"/>
    <x v="0"/>
    <x v="671"/>
    <n v="5.08"/>
    <x v="77"/>
    <x v="18"/>
    <x v="1"/>
    <x v="1"/>
    <x v="1"/>
    <x v="2"/>
    <x v="9"/>
    <x v="106"/>
    <x v="3"/>
    <x v="247"/>
  </r>
  <r>
    <x v="476"/>
    <x v="414"/>
    <x v="3"/>
    <x v="41"/>
    <x v="672"/>
    <x v="1"/>
    <x v="0"/>
    <x v="672"/>
    <n v="4.0599999999999996"/>
    <x v="289"/>
    <x v="18"/>
    <x v="1"/>
    <x v="1"/>
    <x v="1"/>
    <x v="1"/>
    <x v="13"/>
    <x v="456"/>
    <x v="0"/>
    <x v="497"/>
  </r>
  <r>
    <x v="477"/>
    <x v="415"/>
    <x v="0"/>
    <x v="40"/>
    <x v="673"/>
    <x v="6"/>
    <x v="0"/>
    <x v="673"/>
    <n v="7.35"/>
    <x v="310"/>
    <x v="77"/>
    <x v="1"/>
    <x v="1"/>
    <x v="1"/>
    <x v="1"/>
    <x v="5"/>
    <x v="497"/>
    <x v="0"/>
    <x v="498"/>
  </r>
  <r>
    <x v="478"/>
    <x v="416"/>
    <x v="1"/>
    <x v="36"/>
    <x v="674"/>
    <x v="5"/>
    <x v="2"/>
    <x v="674"/>
    <n v="65.989999999999995"/>
    <x v="36"/>
    <x v="75"/>
    <x v="1"/>
    <x v="1"/>
    <x v="0"/>
    <x v="0"/>
    <x v="7"/>
    <x v="498"/>
    <x v="0"/>
    <x v="499"/>
  </r>
  <r>
    <x v="479"/>
    <x v="417"/>
    <x v="4"/>
    <x v="40"/>
    <x v="675"/>
    <x v="4"/>
    <x v="0"/>
    <x v="675"/>
    <n v="2.78"/>
    <x v="311"/>
    <x v="78"/>
    <x v="1"/>
    <x v="1"/>
    <x v="3"/>
    <x v="1"/>
    <x v="1"/>
    <x v="499"/>
    <x v="3"/>
    <x v="500"/>
  </r>
  <r>
    <x v="479"/>
    <x v="417"/>
    <x v="4"/>
    <x v="36"/>
    <x v="676"/>
    <x v="3"/>
    <x v="0"/>
    <x v="676"/>
    <n v="115.99"/>
    <x v="1"/>
    <x v="78"/>
    <x v="1"/>
    <x v="1"/>
    <x v="3"/>
    <x v="0"/>
    <x v="7"/>
    <x v="500"/>
    <x v="0"/>
    <x v="501"/>
  </r>
  <r>
    <x v="480"/>
    <x v="418"/>
    <x v="4"/>
    <x v="6"/>
    <x v="677"/>
    <x v="9"/>
    <x v="0"/>
    <x v="677"/>
    <n v="48.04"/>
    <x v="312"/>
    <x v="18"/>
    <x v="1"/>
    <x v="1"/>
    <x v="1"/>
    <x v="1"/>
    <x v="5"/>
    <x v="501"/>
    <x v="0"/>
    <x v="502"/>
  </r>
  <r>
    <x v="481"/>
    <x v="419"/>
    <x v="2"/>
    <x v="12"/>
    <x v="678"/>
    <x v="9"/>
    <x v="0"/>
    <x v="678"/>
    <n v="10.64"/>
    <x v="40"/>
    <x v="92"/>
    <x v="1"/>
    <x v="1"/>
    <x v="1"/>
    <x v="2"/>
    <x v="9"/>
    <x v="55"/>
    <x v="0"/>
    <x v="195"/>
  </r>
  <r>
    <x v="482"/>
    <x v="420"/>
    <x v="3"/>
    <x v="23"/>
    <x v="679"/>
    <x v="8"/>
    <x v="0"/>
    <x v="679"/>
    <n v="14.48"/>
    <x v="313"/>
    <x v="42"/>
    <x v="1"/>
    <x v="1"/>
    <x v="3"/>
    <x v="1"/>
    <x v="3"/>
    <x v="502"/>
    <x v="0"/>
    <x v="379"/>
  </r>
  <r>
    <x v="482"/>
    <x v="420"/>
    <x v="3"/>
    <x v="19"/>
    <x v="680"/>
    <x v="3"/>
    <x v="0"/>
    <x v="680"/>
    <n v="5.84"/>
    <x v="314"/>
    <x v="42"/>
    <x v="1"/>
    <x v="1"/>
    <x v="3"/>
    <x v="1"/>
    <x v="1"/>
    <x v="503"/>
    <x v="3"/>
    <x v="503"/>
  </r>
  <r>
    <x v="483"/>
    <x v="421"/>
    <x v="1"/>
    <x v="21"/>
    <x v="681"/>
    <x v="4"/>
    <x v="0"/>
    <x v="681"/>
    <n v="35.51"/>
    <x v="315"/>
    <x v="56"/>
    <x v="1"/>
    <x v="1"/>
    <x v="2"/>
    <x v="1"/>
    <x v="6"/>
    <x v="504"/>
    <x v="0"/>
    <x v="504"/>
  </r>
  <r>
    <x v="483"/>
    <x v="421"/>
    <x v="1"/>
    <x v="23"/>
    <x v="682"/>
    <x v="8"/>
    <x v="0"/>
    <x v="682"/>
    <n v="8.34"/>
    <x v="316"/>
    <x v="56"/>
    <x v="1"/>
    <x v="1"/>
    <x v="2"/>
    <x v="1"/>
    <x v="16"/>
    <x v="505"/>
    <x v="1"/>
    <x v="306"/>
  </r>
  <r>
    <x v="483"/>
    <x v="421"/>
    <x v="1"/>
    <x v="10"/>
    <x v="683"/>
    <x v="10"/>
    <x v="0"/>
    <x v="683"/>
    <n v="8.0399999999999991"/>
    <x v="317"/>
    <x v="56"/>
    <x v="1"/>
    <x v="1"/>
    <x v="2"/>
    <x v="1"/>
    <x v="3"/>
    <x v="506"/>
    <x v="0"/>
    <x v="504"/>
  </r>
  <r>
    <x v="483"/>
    <x v="421"/>
    <x v="1"/>
    <x v="29"/>
    <x v="684"/>
    <x v="1"/>
    <x v="1"/>
    <x v="684"/>
    <n v="2550.14"/>
    <x v="118"/>
    <x v="56"/>
    <x v="1"/>
    <x v="1"/>
    <x v="2"/>
    <x v="0"/>
    <x v="15"/>
    <x v="168"/>
    <x v="6"/>
    <x v="504"/>
  </r>
  <r>
    <x v="484"/>
    <x v="422"/>
    <x v="0"/>
    <x v="17"/>
    <x v="685"/>
    <x v="5"/>
    <x v="0"/>
    <x v="685"/>
    <n v="13.9"/>
    <x v="318"/>
    <x v="7"/>
    <x v="1"/>
    <x v="1"/>
    <x v="1"/>
    <x v="1"/>
    <x v="16"/>
    <x v="507"/>
    <x v="1"/>
    <x v="505"/>
  </r>
  <r>
    <x v="485"/>
    <x v="423"/>
    <x v="3"/>
    <x v="25"/>
    <x v="685"/>
    <x v="4"/>
    <x v="0"/>
    <x v="686"/>
    <n v="65.989999999999995"/>
    <x v="84"/>
    <x v="113"/>
    <x v="1"/>
    <x v="1"/>
    <x v="0"/>
    <x v="0"/>
    <x v="7"/>
    <x v="508"/>
    <x v="0"/>
    <x v="506"/>
  </r>
  <r>
    <x v="486"/>
    <x v="424"/>
    <x v="4"/>
    <x v="46"/>
    <x v="685"/>
    <x v="2"/>
    <x v="0"/>
    <x v="687"/>
    <n v="12.58"/>
    <x v="40"/>
    <x v="21"/>
    <x v="1"/>
    <x v="1"/>
    <x v="0"/>
    <x v="2"/>
    <x v="9"/>
    <x v="477"/>
    <x v="0"/>
    <x v="507"/>
  </r>
  <r>
    <x v="487"/>
    <x v="425"/>
    <x v="0"/>
    <x v="12"/>
    <x v="685"/>
    <x v="8"/>
    <x v="0"/>
    <x v="688"/>
    <n v="1.6"/>
    <x v="254"/>
    <x v="1"/>
    <x v="1"/>
    <x v="1"/>
    <x v="0"/>
    <x v="1"/>
    <x v="1"/>
    <x v="397"/>
    <x v="3"/>
    <x v="508"/>
  </r>
  <r>
    <x v="488"/>
    <x v="426"/>
    <x v="0"/>
    <x v="30"/>
    <x v="686"/>
    <x v="1"/>
    <x v="2"/>
    <x v="689"/>
    <n v="10.98"/>
    <x v="306"/>
    <x v="95"/>
    <x v="1"/>
    <x v="1"/>
    <x v="1"/>
    <x v="1"/>
    <x v="4"/>
    <x v="492"/>
    <x v="0"/>
    <x v="509"/>
  </r>
  <r>
    <x v="488"/>
    <x v="426"/>
    <x v="0"/>
    <x v="46"/>
    <x v="687"/>
    <x v="3"/>
    <x v="0"/>
    <x v="690"/>
    <n v="11.97"/>
    <x v="251"/>
    <x v="95"/>
    <x v="1"/>
    <x v="1"/>
    <x v="1"/>
    <x v="1"/>
    <x v="1"/>
    <x v="398"/>
    <x v="1"/>
    <x v="453"/>
  </r>
  <r>
    <x v="489"/>
    <x v="37"/>
    <x v="2"/>
    <x v="9"/>
    <x v="688"/>
    <x v="5"/>
    <x v="0"/>
    <x v="691"/>
    <n v="18.97"/>
    <x v="11"/>
    <x v="114"/>
    <x v="1"/>
    <x v="1"/>
    <x v="1"/>
    <x v="1"/>
    <x v="5"/>
    <x v="17"/>
    <x v="0"/>
    <x v="510"/>
  </r>
  <r>
    <x v="489"/>
    <x v="37"/>
    <x v="2"/>
    <x v="46"/>
    <x v="689"/>
    <x v="9"/>
    <x v="0"/>
    <x v="692"/>
    <n v="2.88"/>
    <x v="16"/>
    <x v="114"/>
    <x v="1"/>
    <x v="1"/>
    <x v="1"/>
    <x v="1"/>
    <x v="1"/>
    <x v="21"/>
    <x v="3"/>
    <x v="511"/>
  </r>
  <r>
    <x v="489"/>
    <x v="37"/>
    <x v="2"/>
    <x v="39"/>
    <x v="690"/>
    <x v="3"/>
    <x v="0"/>
    <x v="693"/>
    <n v="10.98"/>
    <x v="298"/>
    <x v="114"/>
    <x v="1"/>
    <x v="1"/>
    <x v="1"/>
    <x v="1"/>
    <x v="16"/>
    <x v="509"/>
    <x v="1"/>
    <x v="510"/>
  </r>
  <r>
    <x v="490"/>
    <x v="427"/>
    <x v="4"/>
    <x v="35"/>
    <x v="691"/>
    <x v="4"/>
    <x v="0"/>
    <x v="694"/>
    <n v="110.99"/>
    <x v="29"/>
    <x v="72"/>
    <x v="1"/>
    <x v="1"/>
    <x v="0"/>
    <x v="0"/>
    <x v="7"/>
    <x v="43"/>
    <x v="0"/>
    <x v="148"/>
  </r>
  <r>
    <x v="491"/>
    <x v="428"/>
    <x v="2"/>
    <x v="40"/>
    <x v="692"/>
    <x v="8"/>
    <x v="0"/>
    <x v="695"/>
    <n v="6.48"/>
    <x v="319"/>
    <x v="9"/>
    <x v="1"/>
    <x v="1"/>
    <x v="1"/>
    <x v="1"/>
    <x v="5"/>
    <x v="510"/>
    <x v="0"/>
    <x v="204"/>
  </r>
  <r>
    <x v="491"/>
    <x v="428"/>
    <x v="2"/>
    <x v="20"/>
    <x v="693"/>
    <x v="7"/>
    <x v="0"/>
    <x v="696"/>
    <n v="85.99"/>
    <x v="106"/>
    <x v="9"/>
    <x v="1"/>
    <x v="1"/>
    <x v="1"/>
    <x v="0"/>
    <x v="7"/>
    <x v="511"/>
    <x v="1"/>
    <x v="314"/>
  </r>
  <r>
    <x v="492"/>
    <x v="429"/>
    <x v="4"/>
    <x v="31"/>
    <x v="27"/>
    <x v="1"/>
    <x v="0"/>
    <x v="697"/>
    <n v="18.7"/>
    <x v="1"/>
    <x v="58"/>
    <x v="1"/>
    <x v="1"/>
    <x v="0"/>
    <x v="2"/>
    <x v="9"/>
    <x v="512"/>
    <x v="1"/>
    <x v="512"/>
  </r>
  <r>
    <x v="492"/>
    <x v="429"/>
    <x v="4"/>
    <x v="13"/>
    <x v="694"/>
    <x v="4"/>
    <x v="0"/>
    <x v="698"/>
    <n v="1.68"/>
    <x v="142"/>
    <x v="58"/>
    <x v="1"/>
    <x v="1"/>
    <x v="0"/>
    <x v="1"/>
    <x v="1"/>
    <x v="199"/>
    <x v="3"/>
    <x v="512"/>
  </r>
  <r>
    <x v="493"/>
    <x v="430"/>
    <x v="0"/>
    <x v="28"/>
    <x v="685"/>
    <x v="3"/>
    <x v="1"/>
    <x v="699"/>
    <n v="180.98"/>
    <x v="147"/>
    <x v="48"/>
    <x v="1"/>
    <x v="1"/>
    <x v="0"/>
    <x v="2"/>
    <x v="14"/>
    <x v="238"/>
    <x v="6"/>
    <x v="76"/>
  </r>
  <r>
    <x v="494"/>
    <x v="431"/>
    <x v="2"/>
    <x v="22"/>
    <x v="685"/>
    <x v="9"/>
    <x v="1"/>
    <x v="700"/>
    <n v="376.13"/>
    <x v="50"/>
    <x v="67"/>
    <x v="1"/>
    <x v="1"/>
    <x v="2"/>
    <x v="2"/>
    <x v="2"/>
    <x v="66"/>
    <x v="2"/>
    <x v="513"/>
  </r>
  <r>
    <x v="495"/>
    <x v="432"/>
    <x v="0"/>
    <x v="48"/>
    <x v="685"/>
    <x v="2"/>
    <x v="0"/>
    <x v="701"/>
    <n v="5.89"/>
    <x v="320"/>
    <x v="37"/>
    <x v="1"/>
    <x v="1"/>
    <x v="2"/>
    <x v="2"/>
    <x v="9"/>
    <x v="513"/>
    <x v="0"/>
    <x v="478"/>
  </r>
  <r>
    <x v="496"/>
    <x v="387"/>
    <x v="0"/>
    <x v="10"/>
    <x v="685"/>
    <x v="2"/>
    <x v="1"/>
    <x v="702"/>
    <n v="236.97"/>
    <x v="321"/>
    <x v="15"/>
    <x v="1"/>
    <x v="1"/>
    <x v="2"/>
    <x v="2"/>
    <x v="2"/>
    <x v="514"/>
    <x v="2"/>
    <x v="514"/>
  </r>
  <r>
    <x v="497"/>
    <x v="367"/>
    <x v="1"/>
    <x v="38"/>
    <x v="685"/>
    <x v="4"/>
    <x v="0"/>
    <x v="703"/>
    <n v="4.28"/>
    <x v="322"/>
    <x v="105"/>
    <x v="1"/>
    <x v="1"/>
    <x v="1"/>
    <x v="1"/>
    <x v="5"/>
    <x v="515"/>
    <x v="0"/>
    <x v="237"/>
  </r>
  <r>
    <x v="498"/>
    <x v="433"/>
    <x v="0"/>
    <x v="9"/>
    <x v="685"/>
    <x v="8"/>
    <x v="0"/>
    <x v="704"/>
    <n v="30.56"/>
    <x v="168"/>
    <x v="97"/>
    <x v="1"/>
    <x v="1"/>
    <x v="1"/>
    <x v="1"/>
    <x v="3"/>
    <x v="270"/>
    <x v="0"/>
    <x v="515"/>
  </r>
  <r>
    <x v="498"/>
    <x v="433"/>
    <x v="0"/>
    <x v="42"/>
    <x v="685"/>
    <x v="2"/>
    <x v="0"/>
    <x v="705"/>
    <n v="73.98"/>
    <x v="323"/>
    <x v="97"/>
    <x v="1"/>
    <x v="1"/>
    <x v="1"/>
    <x v="0"/>
    <x v="0"/>
    <x v="516"/>
    <x v="0"/>
    <x v="515"/>
  </r>
  <r>
    <x v="499"/>
    <x v="434"/>
    <x v="2"/>
    <x v="12"/>
    <x v="685"/>
    <x v="1"/>
    <x v="0"/>
    <x v="706"/>
    <n v="5.28"/>
    <x v="256"/>
    <x v="56"/>
    <x v="1"/>
    <x v="1"/>
    <x v="2"/>
    <x v="1"/>
    <x v="5"/>
    <x v="400"/>
    <x v="0"/>
    <x v="516"/>
  </r>
  <r>
    <x v="500"/>
    <x v="127"/>
    <x v="3"/>
    <x v="9"/>
    <x v="695"/>
    <x v="4"/>
    <x v="0"/>
    <x v="707"/>
    <n v="5.28"/>
    <x v="168"/>
    <x v="85"/>
    <x v="1"/>
    <x v="1"/>
    <x v="2"/>
    <x v="1"/>
    <x v="3"/>
    <x v="421"/>
    <x v="0"/>
    <x v="517"/>
  </r>
  <r>
    <x v="500"/>
    <x v="127"/>
    <x v="3"/>
    <x v="6"/>
    <x v="696"/>
    <x v="3"/>
    <x v="0"/>
    <x v="708"/>
    <n v="832.81"/>
    <x v="37"/>
    <x v="85"/>
    <x v="1"/>
    <x v="1"/>
    <x v="2"/>
    <x v="1"/>
    <x v="16"/>
    <x v="517"/>
    <x v="4"/>
    <x v="341"/>
  </r>
  <r>
    <x v="501"/>
    <x v="251"/>
    <x v="1"/>
    <x v="47"/>
    <x v="697"/>
    <x v="3"/>
    <x v="0"/>
    <x v="709"/>
    <n v="1.68"/>
    <x v="314"/>
    <x v="27"/>
    <x v="1"/>
    <x v="1"/>
    <x v="3"/>
    <x v="1"/>
    <x v="1"/>
    <x v="518"/>
    <x v="3"/>
    <x v="189"/>
  </r>
  <r>
    <x v="502"/>
    <x v="435"/>
    <x v="3"/>
    <x v="10"/>
    <x v="698"/>
    <x v="10"/>
    <x v="0"/>
    <x v="710"/>
    <n v="65.989999999999995"/>
    <x v="36"/>
    <x v="97"/>
    <x v="1"/>
    <x v="1"/>
    <x v="0"/>
    <x v="0"/>
    <x v="7"/>
    <x v="498"/>
    <x v="0"/>
    <x v="518"/>
  </r>
  <r>
    <x v="503"/>
    <x v="436"/>
    <x v="3"/>
    <x v="0"/>
    <x v="699"/>
    <x v="2"/>
    <x v="0"/>
    <x v="711"/>
    <n v="80.98"/>
    <x v="39"/>
    <x v="113"/>
    <x v="1"/>
    <x v="1"/>
    <x v="2"/>
    <x v="1"/>
    <x v="13"/>
    <x v="519"/>
    <x v="0"/>
    <x v="519"/>
  </r>
  <r>
    <x v="504"/>
    <x v="306"/>
    <x v="4"/>
    <x v="24"/>
    <x v="700"/>
    <x v="9"/>
    <x v="0"/>
    <x v="712"/>
    <n v="40.99"/>
    <x v="305"/>
    <x v="10"/>
    <x v="1"/>
    <x v="1"/>
    <x v="1"/>
    <x v="0"/>
    <x v="15"/>
    <x v="489"/>
    <x v="0"/>
    <x v="418"/>
  </r>
  <r>
    <x v="504"/>
    <x v="306"/>
    <x v="4"/>
    <x v="16"/>
    <x v="701"/>
    <x v="3"/>
    <x v="0"/>
    <x v="713"/>
    <n v="17.48"/>
    <x v="10"/>
    <x v="10"/>
    <x v="1"/>
    <x v="1"/>
    <x v="1"/>
    <x v="0"/>
    <x v="0"/>
    <x v="520"/>
    <x v="1"/>
    <x v="374"/>
  </r>
  <r>
    <x v="505"/>
    <x v="437"/>
    <x v="2"/>
    <x v="10"/>
    <x v="702"/>
    <x v="5"/>
    <x v="0"/>
    <x v="714"/>
    <n v="4.9800000000000004"/>
    <x v="41"/>
    <x v="102"/>
    <x v="1"/>
    <x v="1"/>
    <x v="0"/>
    <x v="1"/>
    <x v="3"/>
    <x v="521"/>
    <x v="0"/>
    <x v="520"/>
  </r>
  <r>
    <x v="506"/>
    <x v="438"/>
    <x v="4"/>
    <x v="43"/>
    <x v="129"/>
    <x v="9"/>
    <x v="0"/>
    <x v="715"/>
    <n v="4.91"/>
    <x v="14"/>
    <x v="4"/>
    <x v="1"/>
    <x v="1"/>
    <x v="1"/>
    <x v="1"/>
    <x v="8"/>
    <x v="463"/>
    <x v="0"/>
    <x v="130"/>
  </r>
  <r>
    <x v="506"/>
    <x v="438"/>
    <x v="4"/>
    <x v="19"/>
    <x v="703"/>
    <x v="8"/>
    <x v="0"/>
    <x v="716"/>
    <n v="6.68"/>
    <x v="245"/>
    <x v="4"/>
    <x v="1"/>
    <x v="1"/>
    <x v="1"/>
    <x v="1"/>
    <x v="5"/>
    <x v="381"/>
    <x v="0"/>
    <x v="130"/>
  </r>
  <r>
    <x v="507"/>
    <x v="439"/>
    <x v="1"/>
    <x v="43"/>
    <x v="704"/>
    <x v="3"/>
    <x v="0"/>
    <x v="717"/>
    <n v="4.28"/>
    <x v="324"/>
    <x v="77"/>
    <x v="1"/>
    <x v="1"/>
    <x v="1"/>
    <x v="1"/>
    <x v="5"/>
    <x v="522"/>
    <x v="0"/>
    <x v="521"/>
  </r>
  <r>
    <x v="507"/>
    <x v="439"/>
    <x v="1"/>
    <x v="47"/>
    <x v="705"/>
    <x v="3"/>
    <x v="0"/>
    <x v="718"/>
    <n v="125.99"/>
    <x v="185"/>
    <x v="77"/>
    <x v="1"/>
    <x v="1"/>
    <x v="1"/>
    <x v="0"/>
    <x v="7"/>
    <x v="523"/>
    <x v="0"/>
    <x v="521"/>
  </r>
  <r>
    <x v="508"/>
    <x v="440"/>
    <x v="1"/>
    <x v="31"/>
    <x v="706"/>
    <x v="8"/>
    <x v="0"/>
    <x v="719"/>
    <n v="41.94"/>
    <x v="168"/>
    <x v="67"/>
    <x v="1"/>
    <x v="1"/>
    <x v="2"/>
    <x v="1"/>
    <x v="3"/>
    <x v="296"/>
    <x v="0"/>
    <x v="522"/>
  </r>
  <r>
    <x v="508"/>
    <x v="440"/>
    <x v="1"/>
    <x v="33"/>
    <x v="707"/>
    <x v="7"/>
    <x v="0"/>
    <x v="720"/>
    <n v="1.98"/>
    <x v="16"/>
    <x v="67"/>
    <x v="1"/>
    <x v="1"/>
    <x v="2"/>
    <x v="1"/>
    <x v="11"/>
    <x v="524"/>
    <x v="3"/>
    <x v="523"/>
  </r>
  <r>
    <x v="509"/>
    <x v="441"/>
    <x v="2"/>
    <x v="23"/>
    <x v="708"/>
    <x v="3"/>
    <x v="0"/>
    <x v="721"/>
    <n v="7.68"/>
    <x v="325"/>
    <x v="46"/>
    <x v="1"/>
    <x v="1"/>
    <x v="2"/>
    <x v="1"/>
    <x v="3"/>
    <x v="525"/>
    <x v="0"/>
    <x v="524"/>
  </r>
  <r>
    <x v="510"/>
    <x v="442"/>
    <x v="1"/>
    <x v="20"/>
    <x v="709"/>
    <x v="1"/>
    <x v="1"/>
    <x v="722"/>
    <n v="68.81"/>
    <x v="38"/>
    <x v="95"/>
    <x v="1"/>
    <x v="1"/>
    <x v="1"/>
    <x v="1"/>
    <x v="13"/>
    <x v="306"/>
    <x v="6"/>
    <x v="525"/>
  </r>
  <r>
    <x v="510"/>
    <x v="442"/>
    <x v="1"/>
    <x v="41"/>
    <x v="710"/>
    <x v="5"/>
    <x v="0"/>
    <x v="723"/>
    <n v="21.38"/>
    <x v="1"/>
    <x v="95"/>
    <x v="1"/>
    <x v="1"/>
    <x v="1"/>
    <x v="1"/>
    <x v="1"/>
    <x v="197"/>
    <x v="1"/>
    <x v="526"/>
  </r>
  <r>
    <x v="511"/>
    <x v="104"/>
    <x v="1"/>
    <x v="19"/>
    <x v="711"/>
    <x v="3"/>
    <x v="2"/>
    <x v="724"/>
    <n v="30.93"/>
    <x v="326"/>
    <x v="87"/>
    <x v="1"/>
    <x v="1"/>
    <x v="0"/>
    <x v="2"/>
    <x v="9"/>
    <x v="526"/>
    <x v="1"/>
    <x v="0"/>
  </r>
  <r>
    <x v="512"/>
    <x v="443"/>
    <x v="2"/>
    <x v="17"/>
    <x v="712"/>
    <x v="2"/>
    <x v="0"/>
    <x v="725"/>
    <n v="40.98"/>
    <x v="23"/>
    <x v="50"/>
    <x v="1"/>
    <x v="1"/>
    <x v="2"/>
    <x v="1"/>
    <x v="13"/>
    <x v="527"/>
    <x v="0"/>
    <x v="527"/>
  </r>
  <r>
    <x v="513"/>
    <x v="344"/>
    <x v="1"/>
    <x v="18"/>
    <x v="713"/>
    <x v="4"/>
    <x v="0"/>
    <x v="726"/>
    <n v="4.24"/>
    <x v="95"/>
    <x v="26"/>
    <x v="1"/>
    <x v="1"/>
    <x v="1"/>
    <x v="1"/>
    <x v="3"/>
    <x v="136"/>
    <x v="0"/>
    <x v="197"/>
  </r>
  <r>
    <x v="513"/>
    <x v="344"/>
    <x v="1"/>
    <x v="36"/>
    <x v="714"/>
    <x v="8"/>
    <x v="0"/>
    <x v="727"/>
    <n v="16.98"/>
    <x v="131"/>
    <x v="26"/>
    <x v="1"/>
    <x v="1"/>
    <x v="1"/>
    <x v="1"/>
    <x v="4"/>
    <x v="360"/>
    <x v="0"/>
    <x v="197"/>
  </r>
  <r>
    <x v="514"/>
    <x v="312"/>
    <x v="0"/>
    <x v="2"/>
    <x v="715"/>
    <x v="7"/>
    <x v="0"/>
    <x v="728"/>
    <n v="7.59"/>
    <x v="13"/>
    <x v="108"/>
    <x v="1"/>
    <x v="1"/>
    <x v="0"/>
    <x v="2"/>
    <x v="9"/>
    <x v="528"/>
    <x v="3"/>
    <x v="379"/>
  </r>
  <r>
    <x v="514"/>
    <x v="312"/>
    <x v="0"/>
    <x v="10"/>
    <x v="716"/>
    <x v="6"/>
    <x v="0"/>
    <x v="729"/>
    <n v="2.98"/>
    <x v="77"/>
    <x v="108"/>
    <x v="1"/>
    <x v="1"/>
    <x v="0"/>
    <x v="1"/>
    <x v="1"/>
    <x v="219"/>
    <x v="3"/>
    <x v="379"/>
  </r>
  <r>
    <x v="515"/>
    <x v="444"/>
    <x v="4"/>
    <x v="41"/>
    <x v="717"/>
    <x v="1"/>
    <x v="0"/>
    <x v="730"/>
    <n v="65.989999999999995"/>
    <x v="36"/>
    <x v="93"/>
    <x v="1"/>
    <x v="1"/>
    <x v="3"/>
    <x v="0"/>
    <x v="7"/>
    <x v="498"/>
    <x v="0"/>
    <x v="528"/>
  </r>
  <r>
    <x v="516"/>
    <x v="173"/>
    <x v="4"/>
    <x v="15"/>
    <x v="718"/>
    <x v="3"/>
    <x v="0"/>
    <x v="731"/>
    <n v="7.31"/>
    <x v="308"/>
    <x v="112"/>
    <x v="1"/>
    <x v="1"/>
    <x v="1"/>
    <x v="1"/>
    <x v="8"/>
    <x v="529"/>
    <x v="0"/>
    <x v="529"/>
  </r>
  <r>
    <x v="516"/>
    <x v="173"/>
    <x v="4"/>
    <x v="16"/>
    <x v="719"/>
    <x v="10"/>
    <x v="0"/>
    <x v="732"/>
    <n v="7.28"/>
    <x v="327"/>
    <x v="112"/>
    <x v="1"/>
    <x v="1"/>
    <x v="1"/>
    <x v="1"/>
    <x v="5"/>
    <x v="530"/>
    <x v="3"/>
    <x v="530"/>
  </r>
  <r>
    <x v="517"/>
    <x v="445"/>
    <x v="4"/>
    <x v="15"/>
    <x v="720"/>
    <x v="8"/>
    <x v="0"/>
    <x v="733"/>
    <n v="11.58"/>
    <x v="224"/>
    <x v="68"/>
    <x v="1"/>
    <x v="1"/>
    <x v="1"/>
    <x v="1"/>
    <x v="4"/>
    <x v="230"/>
    <x v="0"/>
    <x v="531"/>
  </r>
  <r>
    <x v="518"/>
    <x v="446"/>
    <x v="4"/>
    <x v="32"/>
    <x v="721"/>
    <x v="10"/>
    <x v="0"/>
    <x v="734"/>
    <n v="30.56"/>
    <x v="168"/>
    <x v="106"/>
    <x v="1"/>
    <x v="1"/>
    <x v="2"/>
    <x v="1"/>
    <x v="3"/>
    <x v="270"/>
    <x v="0"/>
    <x v="219"/>
  </r>
  <r>
    <x v="519"/>
    <x v="447"/>
    <x v="1"/>
    <x v="26"/>
    <x v="722"/>
    <x v="8"/>
    <x v="0"/>
    <x v="735"/>
    <n v="7.1"/>
    <x v="213"/>
    <x v="80"/>
    <x v="1"/>
    <x v="1"/>
    <x v="3"/>
    <x v="1"/>
    <x v="3"/>
    <x v="429"/>
    <x v="0"/>
    <x v="532"/>
  </r>
  <r>
    <x v="519"/>
    <x v="447"/>
    <x v="1"/>
    <x v="40"/>
    <x v="723"/>
    <x v="6"/>
    <x v="1"/>
    <x v="736"/>
    <n v="119.99"/>
    <x v="59"/>
    <x v="80"/>
    <x v="1"/>
    <x v="1"/>
    <x v="3"/>
    <x v="0"/>
    <x v="15"/>
    <x v="154"/>
    <x v="2"/>
    <x v="487"/>
  </r>
  <r>
    <x v="520"/>
    <x v="448"/>
    <x v="4"/>
    <x v="8"/>
    <x v="724"/>
    <x v="2"/>
    <x v="0"/>
    <x v="737"/>
    <n v="420.98"/>
    <x v="0"/>
    <x v="46"/>
    <x v="1"/>
    <x v="1"/>
    <x v="2"/>
    <x v="1"/>
    <x v="3"/>
    <x v="435"/>
    <x v="0"/>
    <x v="533"/>
  </r>
  <r>
    <x v="520"/>
    <x v="448"/>
    <x v="4"/>
    <x v="32"/>
    <x v="725"/>
    <x v="9"/>
    <x v="0"/>
    <x v="738"/>
    <n v="6.48"/>
    <x v="319"/>
    <x v="46"/>
    <x v="1"/>
    <x v="1"/>
    <x v="2"/>
    <x v="1"/>
    <x v="5"/>
    <x v="510"/>
    <x v="0"/>
    <x v="534"/>
  </r>
  <r>
    <x v="520"/>
    <x v="448"/>
    <x v="4"/>
    <x v="24"/>
    <x v="726"/>
    <x v="0"/>
    <x v="0"/>
    <x v="739"/>
    <n v="36.549999999999997"/>
    <x v="154"/>
    <x v="46"/>
    <x v="1"/>
    <x v="1"/>
    <x v="2"/>
    <x v="1"/>
    <x v="1"/>
    <x v="213"/>
    <x v="3"/>
    <x v="533"/>
  </r>
  <r>
    <x v="521"/>
    <x v="449"/>
    <x v="1"/>
    <x v="35"/>
    <x v="727"/>
    <x v="6"/>
    <x v="1"/>
    <x v="740"/>
    <n v="180.98"/>
    <x v="147"/>
    <x v="41"/>
    <x v="1"/>
    <x v="1"/>
    <x v="3"/>
    <x v="2"/>
    <x v="14"/>
    <x v="238"/>
    <x v="6"/>
    <x v="535"/>
  </r>
  <r>
    <x v="521"/>
    <x v="449"/>
    <x v="1"/>
    <x v="28"/>
    <x v="728"/>
    <x v="2"/>
    <x v="0"/>
    <x v="741"/>
    <n v="48.04"/>
    <x v="328"/>
    <x v="41"/>
    <x v="1"/>
    <x v="1"/>
    <x v="3"/>
    <x v="1"/>
    <x v="5"/>
    <x v="531"/>
    <x v="0"/>
    <x v="324"/>
  </r>
  <r>
    <x v="521"/>
    <x v="449"/>
    <x v="1"/>
    <x v="20"/>
    <x v="729"/>
    <x v="3"/>
    <x v="1"/>
    <x v="742"/>
    <n v="400.98"/>
    <x v="27"/>
    <x v="41"/>
    <x v="1"/>
    <x v="1"/>
    <x v="3"/>
    <x v="2"/>
    <x v="2"/>
    <x v="41"/>
    <x v="2"/>
    <x v="324"/>
  </r>
  <r>
    <x v="522"/>
    <x v="342"/>
    <x v="4"/>
    <x v="2"/>
    <x v="730"/>
    <x v="0"/>
    <x v="0"/>
    <x v="743"/>
    <n v="1.74"/>
    <x v="51"/>
    <x v="49"/>
    <x v="1"/>
    <x v="1"/>
    <x v="0"/>
    <x v="2"/>
    <x v="9"/>
    <x v="67"/>
    <x v="1"/>
    <x v="3"/>
  </r>
  <r>
    <x v="523"/>
    <x v="450"/>
    <x v="1"/>
    <x v="36"/>
    <x v="731"/>
    <x v="6"/>
    <x v="1"/>
    <x v="744"/>
    <n v="100.98"/>
    <x v="214"/>
    <x v="44"/>
    <x v="1"/>
    <x v="1"/>
    <x v="3"/>
    <x v="2"/>
    <x v="10"/>
    <x v="332"/>
    <x v="2"/>
    <x v="128"/>
  </r>
  <r>
    <x v="524"/>
    <x v="451"/>
    <x v="4"/>
    <x v="21"/>
    <x v="732"/>
    <x v="8"/>
    <x v="0"/>
    <x v="745"/>
    <n v="31.74"/>
    <x v="241"/>
    <x v="103"/>
    <x v="1"/>
    <x v="1"/>
    <x v="3"/>
    <x v="1"/>
    <x v="3"/>
    <x v="370"/>
    <x v="0"/>
    <x v="536"/>
  </r>
  <r>
    <x v="524"/>
    <x v="451"/>
    <x v="4"/>
    <x v="5"/>
    <x v="733"/>
    <x v="3"/>
    <x v="0"/>
    <x v="746"/>
    <n v="37.94"/>
    <x v="287"/>
    <x v="103"/>
    <x v="1"/>
    <x v="1"/>
    <x v="3"/>
    <x v="1"/>
    <x v="5"/>
    <x v="452"/>
    <x v="3"/>
    <x v="536"/>
  </r>
  <r>
    <x v="525"/>
    <x v="321"/>
    <x v="1"/>
    <x v="23"/>
    <x v="734"/>
    <x v="7"/>
    <x v="0"/>
    <x v="747"/>
    <n v="6.68"/>
    <x v="178"/>
    <x v="114"/>
    <x v="1"/>
    <x v="1"/>
    <x v="1"/>
    <x v="1"/>
    <x v="5"/>
    <x v="532"/>
    <x v="0"/>
    <x v="442"/>
  </r>
  <r>
    <x v="526"/>
    <x v="452"/>
    <x v="0"/>
    <x v="42"/>
    <x v="735"/>
    <x v="5"/>
    <x v="0"/>
    <x v="598"/>
    <n v="11.34"/>
    <x v="94"/>
    <x v="112"/>
    <x v="1"/>
    <x v="1"/>
    <x v="1"/>
    <x v="1"/>
    <x v="5"/>
    <x v="533"/>
    <x v="0"/>
    <x v="537"/>
  </r>
  <r>
    <x v="526"/>
    <x v="452"/>
    <x v="0"/>
    <x v="14"/>
    <x v="736"/>
    <x v="8"/>
    <x v="0"/>
    <x v="748"/>
    <n v="65.989999999999995"/>
    <x v="1"/>
    <x v="112"/>
    <x v="1"/>
    <x v="1"/>
    <x v="1"/>
    <x v="0"/>
    <x v="7"/>
    <x v="13"/>
    <x v="0"/>
    <x v="538"/>
  </r>
  <r>
    <x v="527"/>
    <x v="453"/>
    <x v="2"/>
    <x v="4"/>
    <x v="737"/>
    <x v="9"/>
    <x v="2"/>
    <x v="749"/>
    <n v="8.6"/>
    <x v="288"/>
    <x v="30"/>
    <x v="1"/>
    <x v="1"/>
    <x v="1"/>
    <x v="1"/>
    <x v="3"/>
    <x v="453"/>
    <x v="0"/>
    <x v="460"/>
  </r>
  <r>
    <x v="528"/>
    <x v="454"/>
    <x v="0"/>
    <x v="22"/>
    <x v="738"/>
    <x v="2"/>
    <x v="2"/>
    <x v="750"/>
    <n v="5.58"/>
    <x v="20"/>
    <x v="48"/>
    <x v="1"/>
    <x v="1"/>
    <x v="0"/>
    <x v="1"/>
    <x v="4"/>
    <x v="27"/>
    <x v="0"/>
    <x v="539"/>
  </r>
  <r>
    <x v="528"/>
    <x v="454"/>
    <x v="0"/>
    <x v="23"/>
    <x v="739"/>
    <x v="8"/>
    <x v="0"/>
    <x v="751"/>
    <n v="7.28"/>
    <x v="219"/>
    <x v="48"/>
    <x v="1"/>
    <x v="1"/>
    <x v="0"/>
    <x v="1"/>
    <x v="5"/>
    <x v="340"/>
    <x v="0"/>
    <x v="539"/>
  </r>
  <r>
    <x v="529"/>
    <x v="454"/>
    <x v="4"/>
    <x v="26"/>
    <x v="740"/>
    <x v="2"/>
    <x v="0"/>
    <x v="752"/>
    <n v="193.17"/>
    <x v="0"/>
    <x v="63"/>
    <x v="1"/>
    <x v="1"/>
    <x v="2"/>
    <x v="1"/>
    <x v="6"/>
    <x v="534"/>
    <x v="0"/>
    <x v="540"/>
  </r>
  <r>
    <x v="529"/>
    <x v="454"/>
    <x v="4"/>
    <x v="29"/>
    <x v="741"/>
    <x v="7"/>
    <x v="0"/>
    <x v="753"/>
    <n v="12.64"/>
    <x v="329"/>
    <x v="63"/>
    <x v="1"/>
    <x v="1"/>
    <x v="2"/>
    <x v="2"/>
    <x v="9"/>
    <x v="535"/>
    <x v="1"/>
    <x v="539"/>
  </r>
  <r>
    <x v="530"/>
    <x v="454"/>
    <x v="0"/>
    <x v="7"/>
    <x v="742"/>
    <x v="3"/>
    <x v="0"/>
    <x v="754"/>
    <n v="3.71"/>
    <x v="330"/>
    <x v="16"/>
    <x v="1"/>
    <x v="1"/>
    <x v="2"/>
    <x v="1"/>
    <x v="5"/>
    <x v="536"/>
    <x v="3"/>
    <x v="541"/>
  </r>
  <r>
    <x v="531"/>
    <x v="455"/>
    <x v="2"/>
    <x v="18"/>
    <x v="743"/>
    <x v="6"/>
    <x v="2"/>
    <x v="755"/>
    <n v="15.98"/>
    <x v="1"/>
    <x v="21"/>
    <x v="1"/>
    <x v="1"/>
    <x v="3"/>
    <x v="0"/>
    <x v="0"/>
    <x v="537"/>
    <x v="1"/>
    <x v="542"/>
  </r>
  <r>
    <x v="531"/>
    <x v="455"/>
    <x v="2"/>
    <x v="34"/>
    <x v="744"/>
    <x v="1"/>
    <x v="0"/>
    <x v="756"/>
    <n v="12.28"/>
    <x v="208"/>
    <x v="21"/>
    <x v="1"/>
    <x v="1"/>
    <x v="3"/>
    <x v="1"/>
    <x v="5"/>
    <x v="319"/>
    <x v="0"/>
    <x v="542"/>
  </r>
  <r>
    <x v="531"/>
    <x v="455"/>
    <x v="2"/>
    <x v="19"/>
    <x v="745"/>
    <x v="8"/>
    <x v="2"/>
    <x v="757"/>
    <n v="30.98"/>
    <x v="101"/>
    <x v="21"/>
    <x v="1"/>
    <x v="1"/>
    <x v="3"/>
    <x v="1"/>
    <x v="5"/>
    <x v="538"/>
    <x v="0"/>
    <x v="542"/>
  </r>
  <r>
    <x v="532"/>
    <x v="456"/>
    <x v="1"/>
    <x v="32"/>
    <x v="746"/>
    <x v="6"/>
    <x v="0"/>
    <x v="758"/>
    <n v="115.99"/>
    <x v="76"/>
    <x v="115"/>
    <x v="1"/>
    <x v="1"/>
    <x v="3"/>
    <x v="0"/>
    <x v="7"/>
    <x v="539"/>
    <x v="0"/>
    <x v="420"/>
  </r>
  <r>
    <x v="533"/>
    <x v="457"/>
    <x v="4"/>
    <x v="42"/>
    <x v="747"/>
    <x v="6"/>
    <x v="1"/>
    <x v="759"/>
    <n v="115.99"/>
    <x v="59"/>
    <x v="116"/>
    <x v="1"/>
    <x v="1"/>
    <x v="3"/>
    <x v="0"/>
    <x v="15"/>
    <x v="80"/>
    <x v="6"/>
    <x v="543"/>
  </r>
  <r>
    <x v="534"/>
    <x v="458"/>
    <x v="2"/>
    <x v="32"/>
    <x v="748"/>
    <x v="0"/>
    <x v="1"/>
    <x v="760"/>
    <n v="105.49"/>
    <x v="331"/>
    <x v="117"/>
    <x v="1"/>
    <x v="1"/>
    <x v="1"/>
    <x v="2"/>
    <x v="2"/>
    <x v="540"/>
    <x v="2"/>
    <x v="544"/>
  </r>
  <r>
    <x v="535"/>
    <x v="459"/>
    <x v="1"/>
    <x v="43"/>
    <x v="749"/>
    <x v="8"/>
    <x v="1"/>
    <x v="761"/>
    <n v="100.98"/>
    <x v="75"/>
    <x v="118"/>
    <x v="1"/>
    <x v="1"/>
    <x v="3"/>
    <x v="2"/>
    <x v="10"/>
    <x v="104"/>
    <x v="2"/>
    <x v="545"/>
  </r>
  <r>
    <x v="535"/>
    <x v="459"/>
    <x v="1"/>
    <x v="48"/>
    <x v="750"/>
    <x v="6"/>
    <x v="0"/>
    <x v="762"/>
    <n v="6.68"/>
    <x v="256"/>
    <x v="118"/>
    <x v="1"/>
    <x v="1"/>
    <x v="3"/>
    <x v="1"/>
    <x v="5"/>
    <x v="541"/>
    <x v="0"/>
    <x v="546"/>
  </r>
  <r>
    <x v="536"/>
    <x v="256"/>
    <x v="1"/>
    <x v="44"/>
    <x v="751"/>
    <x v="6"/>
    <x v="0"/>
    <x v="763"/>
    <n v="40.89"/>
    <x v="332"/>
    <x v="119"/>
    <x v="1"/>
    <x v="1"/>
    <x v="3"/>
    <x v="2"/>
    <x v="9"/>
    <x v="542"/>
    <x v="0"/>
    <x v="547"/>
  </r>
  <r>
    <x v="537"/>
    <x v="460"/>
    <x v="1"/>
    <x v="20"/>
    <x v="752"/>
    <x v="7"/>
    <x v="0"/>
    <x v="764"/>
    <n v="14.48"/>
    <x v="313"/>
    <x v="120"/>
    <x v="1"/>
    <x v="1"/>
    <x v="0"/>
    <x v="1"/>
    <x v="3"/>
    <x v="502"/>
    <x v="0"/>
    <x v="548"/>
  </r>
  <r>
    <x v="537"/>
    <x v="460"/>
    <x v="1"/>
    <x v="4"/>
    <x v="753"/>
    <x v="6"/>
    <x v="0"/>
    <x v="765"/>
    <n v="35.99"/>
    <x v="22"/>
    <x v="120"/>
    <x v="1"/>
    <x v="1"/>
    <x v="0"/>
    <x v="0"/>
    <x v="7"/>
    <x v="543"/>
    <x v="1"/>
    <x v="549"/>
  </r>
  <r>
    <x v="538"/>
    <x v="461"/>
    <x v="0"/>
    <x v="31"/>
    <x v="754"/>
    <x v="5"/>
    <x v="1"/>
    <x v="766"/>
    <n v="880.98"/>
    <x v="333"/>
    <x v="121"/>
    <x v="1"/>
    <x v="1"/>
    <x v="0"/>
    <x v="2"/>
    <x v="10"/>
    <x v="544"/>
    <x v="2"/>
    <x v="550"/>
  </r>
  <r>
    <x v="538"/>
    <x v="461"/>
    <x v="0"/>
    <x v="30"/>
    <x v="755"/>
    <x v="3"/>
    <x v="0"/>
    <x v="767"/>
    <n v="5.47"/>
    <x v="76"/>
    <x v="121"/>
    <x v="1"/>
    <x v="1"/>
    <x v="0"/>
    <x v="2"/>
    <x v="9"/>
    <x v="545"/>
    <x v="1"/>
    <x v="125"/>
  </r>
  <r>
    <x v="538"/>
    <x v="461"/>
    <x v="0"/>
    <x v="6"/>
    <x v="756"/>
    <x v="6"/>
    <x v="2"/>
    <x v="768"/>
    <n v="6.48"/>
    <x v="65"/>
    <x v="121"/>
    <x v="1"/>
    <x v="1"/>
    <x v="0"/>
    <x v="1"/>
    <x v="5"/>
    <x v="320"/>
    <x v="0"/>
    <x v="125"/>
  </r>
  <r>
    <x v="539"/>
    <x v="116"/>
    <x v="1"/>
    <x v="5"/>
    <x v="757"/>
    <x v="6"/>
    <x v="0"/>
    <x v="769"/>
    <n v="5.44"/>
    <x v="334"/>
    <x v="118"/>
    <x v="1"/>
    <x v="1"/>
    <x v="3"/>
    <x v="1"/>
    <x v="3"/>
    <x v="546"/>
    <x v="0"/>
    <x v="551"/>
  </r>
  <r>
    <x v="539"/>
    <x v="116"/>
    <x v="1"/>
    <x v="17"/>
    <x v="758"/>
    <x v="9"/>
    <x v="1"/>
    <x v="770"/>
    <n v="549.99"/>
    <x v="172"/>
    <x v="118"/>
    <x v="1"/>
    <x v="1"/>
    <x v="3"/>
    <x v="0"/>
    <x v="12"/>
    <x v="547"/>
    <x v="6"/>
    <x v="138"/>
  </r>
  <r>
    <x v="539"/>
    <x v="116"/>
    <x v="1"/>
    <x v="42"/>
    <x v="759"/>
    <x v="10"/>
    <x v="2"/>
    <x v="771"/>
    <n v="22.01"/>
    <x v="108"/>
    <x v="118"/>
    <x v="1"/>
    <x v="1"/>
    <x v="3"/>
    <x v="1"/>
    <x v="1"/>
    <x v="155"/>
    <x v="1"/>
    <x v="551"/>
  </r>
  <r>
    <x v="539"/>
    <x v="116"/>
    <x v="1"/>
    <x v="42"/>
    <x v="760"/>
    <x v="3"/>
    <x v="0"/>
    <x v="772"/>
    <n v="34.76"/>
    <x v="110"/>
    <x v="118"/>
    <x v="1"/>
    <x v="1"/>
    <x v="3"/>
    <x v="1"/>
    <x v="6"/>
    <x v="159"/>
    <x v="0"/>
    <x v="138"/>
  </r>
  <r>
    <x v="540"/>
    <x v="462"/>
    <x v="0"/>
    <x v="44"/>
    <x v="761"/>
    <x v="7"/>
    <x v="2"/>
    <x v="773"/>
    <n v="5.38"/>
    <x v="335"/>
    <x v="122"/>
    <x v="1"/>
    <x v="1"/>
    <x v="2"/>
    <x v="1"/>
    <x v="3"/>
    <x v="548"/>
    <x v="0"/>
    <x v="265"/>
  </r>
  <r>
    <x v="540"/>
    <x v="462"/>
    <x v="0"/>
    <x v="48"/>
    <x v="762"/>
    <x v="10"/>
    <x v="0"/>
    <x v="774"/>
    <n v="7.35"/>
    <x v="310"/>
    <x v="122"/>
    <x v="1"/>
    <x v="1"/>
    <x v="2"/>
    <x v="1"/>
    <x v="5"/>
    <x v="497"/>
    <x v="0"/>
    <x v="265"/>
  </r>
  <r>
    <x v="540"/>
    <x v="462"/>
    <x v="0"/>
    <x v="5"/>
    <x v="763"/>
    <x v="9"/>
    <x v="0"/>
    <x v="775"/>
    <n v="15.57"/>
    <x v="126"/>
    <x v="122"/>
    <x v="1"/>
    <x v="1"/>
    <x v="2"/>
    <x v="1"/>
    <x v="4"/>
    <x v="179"/>
    <x v="0"/>
    <x v="552"/>
  </r>
  <r>
    <x v="540"/>
    <x v="462"/>
    <x v="0"/>
    <x v="6"/>
    <x v="764"/>
    <x v="9"/>
    <x v="0"/>
    <x v="776"/>
    <n v="20.89"/>
    <x v="336"/>
    <x v="122"/>
    <x v="1"/>
    <x v="1"/>
    <x v="2"/>
    <x v="1"/>
    <x v="6"/>
    <x v="549"/>
    <x v="0"/>
    <x v="552"/>
  </r>
  <r>
    <x v="541"/>
    <x v="463"/>
    <x v="4"/>
    <x v="10"/>
    <x v="765"/>
    <x v="0"/>
    <x v="0"/>
    <x v="777"/>
    <n v="22.38"/>
    <x v="212"/>
    <x v="123"/>
    <x v="1"/>
    <x v="1"/>
    <x v="1"/>
    <x v="1"/>
    <x v="3"/>
    <x v="327"/>
    <x v="0"/>
    <x v="553"/>
  </r>
  <r>
    <x v="541"/>
    <x v="463"/>
    <x v="4"/>
    <x v="16"/>
    <x v="766"/>
    <x v="10"/>
    <x v="2"/>
    <x v="778"/>
    <n v="29.99"/>
    <x v="128"/>
    <x v="123"/>
    <x v="1"/>
    <x v="1"/>
    <x v="1"/>
    <x v="0"/>
    <x v="0"/>
    <x v="550"/>
    <x v="0"/>
    <x v="529"/>
  </r>
  <r>
    <x v="542"/>
    <x v="306"/>
    <x v="0"/>
    <x v="28"/>
    <x v="767"/>
    <x v="0"/>
    <x v="0"/>
    <x v="779"/>
    <n v="8.5"/>
    <x v="10"/>
    <x v="121"/>
    <x v="1"/>
    <x v="1"/>
    <x v="0"/>
    <x v="0"/>
    <x v="0"/>
    <x v="109"/>
    <x v="1"/>
    <x v="554"/>
  </r>
  <r>
    <x v="543"/>
    <x v="464"/>
    <x v="1"/>
    <x v="20"/>
    <x v="768"/>
    <x v="7"/>
    <x v="0"/>
    <x v="780"/>
    <n v="155.99"/>
    <x v="301"/>
    <x v="116"/>
    <x v="1"/>
    <x v="1"/>
    <x v="3"/>
    <x v="0"/>
    <x v="7"/>
    <x v="479"/>
    <x v="0"/>
    <x v="555"/>
  </r>
  <r>
    <x v="544"/>
    <x v="51"/>
    <x v="4"/>
    <x v="19"/>
    <x v="769"/>
    <x v="9"/>
    <x v="0"/>
    <x v="781"/>
    <n v="25.38"/>
    <x v="1"/>
    <x v="124"/>
    <x v="1"/>
    <x v="1"/>
    <x v="2"/>
    <x v="2"/>
    <x v="9"/>
    <x v="551"/>
    <x v="1"/>
    <x v="65"/>
  </r>
  <r>
    <x v="544"/>
    <x v="51"/>
    <x v="4"/>
    <x v="41"/>
    <x v="770"/>
    <x v="9"/>
    <x v="0"/>
    <x v="782"/>
    <n v="21.38"/>
    <x v="1"/>
    <x v="124"/>
    <x v="1"/>
    <x v="1"/>
    <x v="2"/>
    <x v="1"/>
    <x v="1"/>
    <x v="197"/>
    <x v="1"/>
    <x v="65"/>
  </r>
  <r>
    <x v="545"/>
    <x v="465"/>
    <x v="0"/>
    <x v="49"/>
    <x v="771"/>
    <x v="3"/>
    <x v="0"/>
    <x v="783"/>
    <n v="8.75"/>
    <x v="218"/>
    <x v="125"/>
    <x v="1"/>
    <x v="1"/>
    <x v="2"/>
    <x v="2"/>
    <x v="9"/>
    <x v="339"/>
    <x v="1"/>
    <x v="556"/>
  </r>
  <r>
    <x v="546"/>
    <x v="466"/>
    <x v="2"/>
    <x v="15"/>
    <x v="772"/>
    <x v="5"/>
    <x v="0"/>
    <x v="784"/>
    <n v="2.52"/>
    <x v="307"/>
    <x v="116"/>
    <x v="1"/>
    <x v="1"/>
    <x v="3"/>
    <x v="1"/>
    <x v="16"/>
    <x v="552"/>
    <x v="3"/>
    <x v="557"/>
  </r>
  <r>
    <x v="547"/>
    <x v="467"/>
    <x v="1"/>
    <x v="5"/>
    <x v="773"/>
    <x v="6"/>
    <x v="0"/>
    <x v="785"/>
    <n v="125.99"/>
    <x v="185"/>
    <x v="126"/>
    <x v="1"/>
    <x v="1"/>
    <x v="0"/>
    <x v="0"/>
    <x v="7"/>
    <x v="523"/>
    <x v="0"/>
    <x v="558"/>
  </r>
  <r>
    <x v="548"/>
    <x v="468"/>
    <x v="3"/>
    <x v="2"/>
    <x v="774"/>
    <x v="3"/>
    <x v="2"/>
    <x v="786"/>
    <n v="5.34"/>
    <x v="168"/>
    <x v="123"/>
    <x v="1"/>
    <x v="1"/>
    <x v="1"/>
    <x v="1"/>
    <x v="3"/>
    <x v="431"/>
    <x v="0"/>
    <x v="559"/>
  </r>
  <r>
    <x v="548"/>
    <x v="468"/>
    <x v="3"/>
    <x v="0"/>
    <x v="775"/>
    <x v="0"/>
    <x v="1"/>
    <x v="787"/>
    <n v="140.97999999999999"/>
    <x v="337"/>
    <x v="123"/>
    <x v="1"/>
    <x v="1"/>
    <x v="1"/>
    <x v="2"/>
    <x v="10"/>
    <x v="553"/>
    <x v="2"/>
    <x v="559"/>
  </r>
  <r>
    <x v="548"/>
    <x v="468"/>
    <x v="3"/>
    <x v="13"/>
    <x v="776"/>
    <x v="7"/>
    <x v="0"/>
    <x v="788"/>
    <n v="205.99"/>
    <x v="76"/>
    <x v="123"/>
    <x v="1"/>
    <x v="1"/>
    <x v="1"/>
    <x v="0"/>
    <x v="7"/>
    <x v="554"/>
    <x v="0"/>
    <x v="559"/>
  </r>
  <r>
    <x v="549"/>
    <x v="469"/>
    <x v="4"/>
    <x v="0"/>
    <x v="777"/>
    <x v="8"/>
    <x v="1"/>
    <x v="789"/>
    <n v="280.98"/>
    <x v="338"/>
    <x v="115"/>
    <x v="1"/>
    <x v="1"/>
    <x v="3"/>
    <x v="2"/>
    <x v="2"/>
    <x v="555"/>
    <x v="2"/>
    <x v="560"/>
  </r>
  <r>
    <x v="550"/>
    <x v="265"/>
    <x v="1"/>
    <x v="14"/>
    <x v="778"/>
    <x v="2"/>
    <x v="1"/>
    <x v="790"/>
    <n v="230.98"/>
    <x v="339"/>
    <x v="123"/>
    <x v="1"/>
    <x v="1"/>
    <x v="1"/>
    <x v="2"/>
    <x v="2"/>
    <x v="556"/>
    <x v="2"/>
    <x v="561"/>
  </r>
  <r>
    <x v="551"/>
    <x v="32"/>
    <x v="4"/>
    <x v="29"/>
    <x v="779"/>
    <x v="6"/>
    <x v="0"/>
    <x v="791"/>
    <n v="20.98"/>
    <x v="6"/>
    <x v="115"/>
    <x v="1"/>
    <x v="1"/>
    <x v="3"/>
    <x v="1"/>
    <x v="3"/>
    <x v="557"/>
    <x v="0"/>
    <x v="40"/>
  </r>
  <r>
    <x v="552"/>
    <x v="19"/>
    <x v="0"/>
    <x v="33"/>
    <x v="780"/>
    <x v="4"/>
    <x v="2"/>
    <x v="792"/>
    <n v="1.74"/>
    <x v="51"/>
    <x v="116"/>
    <x v="1"/>
    <x v="1"/>
    <x v="3"/>
    <x v="2"/>
    <x v="9"/>
    <x v="67"/>
    <x v="1"/>
    <x v="503"/>
  </r>
  <r>
    <x v="553"/>
    <x v="470"/>
    <x v="4"/>
    <x v="0"/>
    <x v="781"/>
    <x v="6"/>
    <x v="0"/>
    <x v="793"/>
    <n v="2.88"/>
    <x v="22"/>
    <x v="121"/>
    <x v="1"/>
    <x v="1"/>
    <x v="0"/>
    <x v="1"/>
    <x v="8"/>
    <x v="558"/>
    <x v="0"/>
    <x v="273"/>
  </r>
  <r>
    <x v="554"/>
    <x v="471"/>
    <x v="0"/>
    <x v="49"/>
    <x v="782"/>
    <x v="2"/>
    <x v="1"/>
    <x v="794"/>
    <n v="442.14"/>
    <x v="121"/>
    <x v="125"/>
    <x v="1"/>
    <x v="1"/>
    <x v="0"/>
    <x v="0"/>
    <x v="15"/>
    <x v="172"/>
    <x v="6"/>
    <x v="562"/>
  </r>
  <r>
    <x v="555"/>
    <x v="472"/>
    <x v="1"/>
    <x v="1"/>
    <x v="783"/>
    <x v="0"/>
    <x v="0"/>
    <x v="795"/>
    <n v="8.1199999999999992"/>
    <x v="68"/>
    <x v="115"/>
    <x v="1"/>
    <x v="1"/>
    <x v="3"/>
    <x v="0"/>
    <x v="0"/>
    <x v="92"/>
    <x v="1"/>
    <x v="563"/>
  </r>
  <r>
    <x v="556"/>
    <x v="473"/>
    <x v="3"/>
    <x v="19"/>
    <x v="784"/>
    <x v="4"/>
    <x v="1"/>
    <x v="796"/>
    <n v="350.99"/>
    <x v="340"/>
    <x v="127"/>
    <x v="1"/>
    <x v="1"/>
    <x v="3"/>
    <x v="2"/>
    <x v="14"/>
    <x v="559"/>
    <x v="6"/>
    <x v="564"/>
  </r>
  <r>
    <x v="556"/>
    <x v="473"/>
    <x v="3"/>
    <x v="27"/>
    <x v="785"/>
    <x v="2"/>
    <x v="0"/>
    <x v="797"/>
    <n v="8.74"/>
    <x v="126"/>
    <x v="127"/>
    <x v="1"/>
    <x v="1"/>
    <x v="3"/>
    <x v="1"/>
    <x v="4"/>
    <x v="5"/>
    <x v="0"/>
    <x v="84"/>
  </r>
  <r>
    <x v="556"/>
    <x v="473"/>
    <x v="3"/>
    <x v="32"/>
    <x v="786"/>
    <x v="9"/>
    <x v="0"/>
    <x v="798"/>
    <n v="1.98"/>
    <x v="16"/>
    <x v="127"/>
    <x v="1"/>
    <x v="1"/>
    <x v="3"/>
    <x v="1"/>
    <x v="11"/>
    <x v="524"/>
    <x v="3"/>
    <x v="84"/>
  </r>
  <r>
    <x v="557"/>
    <x v="474"/>
    <x v="1"/>
    <x v="29"/>
    <x v="787"/>
    <x v="10"/>
    <x v="0"/>
    <x v="799"/>
    <n v="152.47999999999999"/>
    <x v="13"/>
    <x v="118"/>
    <x v="1"/>
    <x v="1"/>
    <x v="3"/>
    <x v="0"/>
    <x v="0"/>
    <x v="274"/>
    <x v="0"/>
    <x v="508"/>
  </r>
  <r>
    <x v="557"/>
    <x v="474"/>
    <x v="1"/>
    <x v="8"/>
    <x v="788"/>
    <x v="8"/>
    <x v="0"/>
    <x v="800"/>
    <n v="32.979999999999997"/>
    <x v="128"/>
    <x v="118"/>
    <x v="1"/>
    <x v="1"/>
    <x v="3"/>
    <x v="0"/>
    <x v="0"/>
    <x v="183"/>
    <x v="0"/>
    <x v="445"/>
  </r>
  <r>
    <x v="558"/>
    <x v="475"/>
    <x v="0"/>
    <x v="13"/>
    <x v="789"/>
    <x v="8"/>
    <x v="0"/>
    <x v="801"/>
    <n v="5.68"/>
    <x v="341"/>
    <x v="124"/>
    <x v="1"/>
    <x v="1"/>
    <x v="2"/>
    <x v="1"/>
    <x v="16"/>
    <x v="560"/>
    <x v="1"/>
    <x v="164"/>
  </r>
  <r>
    <x v="559"/>
    <x v="476"/>
    <x v="3"/>
    <x v="36"/>
    <x v="790"/>
    <x v="9"/>
    <x v="1"/>
    <x v="802"/>
    <n v="500.98"/>
    <x v="342"/>
    <x v="123"/>
    <x v="1"/>
    <x v="1"/>
    <x v="1"/>
    <x v="2"/>
    <x v="10"/>
    <x v="561"/>
    <x v="2"/>
    <x v="565"/>
  </r>
  <r>
    <x v="560"/>
    <x v="477"/>
    <x v="4"/>
    <x v="3"/>
    <x v="791"/>
    <x v="5"/>
    <x v="0"/>
    <x v="803"/>
    <n v="19.98"/>
    <x v="343"/>
    <x v="116"/>
    <x v="1"/>
    <x v="1"/>
    <x v="3"/>
    <x v="1"/>
    <x v="5"/>
    <x v="562"/>
    <x v="0"/>
    <x v="433"/>
  </r>
  <r>
    <x v="561"/>
    <x v="478"/>
    <x v="1"/>
    <x v="37"/>
    <x v="792"/>
    <x v="0"/>
    <x v="0"/>
    <x v="804"/>
    <n v="5.68"/>
    <x v="341"/>
    <x v="128"/>
    <x v="1"/>
    <x v="1"/>
    <x v="0"/>
    <x v="1"/>
    <x v="16"/>
    <x v="560"/>
    <x v="1"/>
    <x v="223"/>
  </r>
  <r>
    <x v="561"/>
    <x v="478"/>
    <x v="1"/>
    <x v="32"/>
    <x v="793"/>
    <x v="0"/>
    <x v="0"/>
    <x v="805"/>
    <n v="205.99"/>
    <x v="137"/>
    <x v="128"/>
    <x v="1"/>
    <x v="1"/>
    <x v="0"/>
    <x v="0"/>
    <x v="7"/>
    <x v="563"/>
    <x v="0"/>
    <x v="566"/>
  </r>
  <r>
    <x v="562"/>
    <x v="479"/>
    <x v="4"/>
    <x v="16"/>
    <x v="794"/>
    <x v="10"/>
    <x v="0"/>
    <x v="806"/>
    <n v="39.979999999999997"/>
    <x v="13"/>
    <x v="129"/>
    <x v="1"/>
    <x v="1"/>
    <x v="1"/>
    <x v="0"/>
    <x v="0"/>
    <x v="564"/>
    <x v="0"/>
    <x v="567"/>
  </r>
  <r>
    <x v="563"/>
    <x v="480"/>
    <x v="0"/>
    <x v="2"/>
    <x v="795"/>
    <x v="7"/>
    <x v="0"/>
    <x v="807"/>
    <n v="35.770000000000003"/>
    <x v="344"/>
    <x v="126"/>
    <x v="1"/>
    <x v="1"/>
    <x v="3"/>
    <x v="0"/>
    <x v="0"/>
    <x v="565"/>
    <x v="0"/>
    <x v="568"/>
  </r>
  <r>
    <x v="564"/>
    <x v="481"/>
    <x v="2"/>
    <x v="37"/>
    <x v="796"/>
    <x v="9"/>
    <x v="0"/>
    <x v="808"/>
    <n v="4.54"/>
    <x v="197"/>
    <x v="119"/>
    <x v="1"/>
    <x v="1"/>
    <x v="3"/>
    <x v="1"/>
    <x v="3"/>
    <x v="289"/>
    <x v="0"/>
    <x v="569"/>
  </r>
  <r>
    <x v="564"/>
    <x v="481"/>
    <x v="2"/>
    <x v="25"/>
    <x v="797"/>
    <x v="9"/>
    <x v="0"/>
    <x v="809"/>
    <n v="28.48"/>
    <x v="1"/>
    <x v="119"/>
    <x v="1"/>
    <x v="1"/>
    <x v="3"/>
    <x v="0"/>
    <x v="0"/>
    <x v="566"/>
    <x v="1"/>
    <x v="570"/>
  </r>
  <r>
    <x v="565"/>
    <x v="482"/>
    <x v="1"/>
    <x v="10"/>
    <x v="798"/>
    <x v="2"/>
    <x v="1"/>
    <x v="810"/>
    <n v="240.98"/>
    <x v="345"/>
    <x v="122"/>
    <x v="1"/>
    <x v="1"/>
    <x v="2"/>
    <x v="2"/>
    <x v="10"/>
    <x v="567"/>
    <x v="2"/>
    <x v="571"/>
  </r>
  <r>
    <x v="565"/>
    <x v="482"/>
    <x v="1"/>
    <x v="37"/>
    <x v="799"/>
    <x v="3"/>
    <x v="0"/>
    <x v="811"/>
    <n v="6.48"/>
    <x v="319"/>
    <x v="122"/>
    <x v="1"/>
    <x v="1"/>
    <x v="2"/>
    <x v="1"/>
    <x v="5"/>
    <x v="510"/>
    <x v="0"/>
    <x v="571"/>
  </r>
  <r>
    <x v="566"/>
    <x v="483"/>
    <x v="1"/>
    <x v="39"/>
    <x v="800"/>
    <x v="2"/>
    <x v="0"/>
    <x v="812"/>
    <n v="3.98"/>
    <x v="76"/>
    <x v="130"/>
    <x v="1"/>
    <x v="1"/>
    <x v="1"/>
    <x v="1"/>
    <x v="3"/>
    <x v="201"/>
    <x v="0"/>
    <x v="572"/>
  </r>
  <r>
    <x v="567"/>
    <x v="338"/>
    <x v="3"/>
    <x v="33"/>
    <x v="801"/>
    <x v="0"/>
    <x v="0"/>
    <x v="813"/>
    <n v="162.93"/>
    <x v="0"/>
    <x v="131"/>
    <x v="1"/>
    <x v="1"/>
    <x v="3"/>
    <x v="1"/>
    <x v="4"/>
    <x v="19"/>
    <x v="0"/>
    <x v="298"/>
  </r>
  <r>
    <x v="567"/>
    <x v="338"/>
    <x v="3"/>
    <x v="18"/>
    <x v="802"/>
    <x v="1"/>
    <x v="0"/>
    <x v="814"/>
    <n v="2.52"/>
    <x v="86"/>
    <x v="131"/>
    <x v="1"/>
    <x v="1"/>
    <x v="3"/>
    <x v="1"/>
    <x v="1"/>
    <x v="118"/>
    <x v="3"/>
    <x v="72"/>
  </r>
  <r>
    <x v="568"/>
    <x v="479"/>
    <x v="2"/>
    <x v="16"/>
    <x v="803"/>
    <x v="3"/>
    <x v="0"/>
    <x v="815"/>
    <n v="2.1800000000000002"/>
    <x v="346"/>
    <x v="129"/>
    <x v="1"/>
    <x v="1"/>
    <x v="1"/>
    <x v="1"/>
    <x v="11"/>
    <x v="568"/>
    <x v="3"/>
    <x v="147"/>
  </r>
  <r>
    <x v="569"/>
    <x v="484"/>
    <x v="1"/>
    <x v="39"/>
    <x v="804"/>
    <x v="10"/>
    <x v="0"/>
    <x v="816"/>
    <n v="10.89"/>
    <x v="39"/>
    <x v="120"/>
    <x v="1"/>
    <x v="1"/>
    <x v="0"/>
    <x v="1"/>
    <x v="13"/>
    <x v="54"/>
    <x v="0"/>
    <x v="573"/>
  </r>
  <r>
    <x v="570"/>
    <x v="273"/>
    <x v="1"/>
    <x v="36"/>
    <x v="805"/>
    <x v="0"/>
    <x v="2"/>
    <x v="817"/>
    <n v="4.76"/>
    <x v="347"/>
    <x v="124"/>
    <x v="1"/>
    <x v="1"/>
    <x v="2"/>
    <x v="1"/>
    <x v="5"/>
    <x v="569"/>
    <x v="3"/>
    <x v="340"/>
  </r>
  <r>
    <x v="571"/>
    <x v="485"/>
    <x v="3"/>
    <x v="14"/>
    <x v="806"/>
    <x v="6"/>
    <x v="0"/>
    <x v="818"/>
    <n v="18.97"/>
    <x v="11"/>
    <x v="117"/>
    <x v="1"/>
    <x v="1"/>
    <x v="3"/>
    <x v="1"/>
    <x v="5"/>
    <x v="17"/>
    <x v="0"/>
    <x v="574"/>
  </r>
  <r>
    <x v="572"/>
    <x v="486"/>
    <x v="4"/>
    <x v="37"/>
    <x v="807"/>
    <x v="2"/>
    <x v="0"/>
    <x v="819"/>
    <n v="15.99"/>
    <x v="79"/>
    <x v="126"/>
    <x v="1"/>
    <x v="1"/>
    <x v="0"/>
    <x v="0"/>
    <x v="15"/>
    <x v="110"/>
    <x v="0"/>
    <x v="5"/>
  </r>
  <r>
    <x v="573"/>
    <x v="487"/>
    <x v="4"/>
    <x v="6"/>
    <x v="808"/>
    <x v="3"/>
    <x v="0"/>
    <x v="820"/>
    <n v="34.99"/>
    <x v="128"/>
    <x v="116"/>
    <x v="1"/>
    <x v="1"/>
    <x v="3"/>
    <x v="0"/>
    <x v="0"/>
    <x v="570"/>
    <x v="0"/>
    <x v="575"/>
  </r>
  <r>
    <x v="574"/>
    <x v="488"/>
    <x v="2"/>
    <x v="23"/>
    <x v="809"/>
    <x v="8"/>
    <x v="2"/>
    <x v="821"/>
    <n v="14.48"/>
    <x v="313"/>
    <x v="119"/>
    <x v="1"/>
    <x v="1"/>
    <x v="3"/>
    <x v="1"/>
    <x v="3"/>
    <x v="502"/>
    <x v="0"/>
    <x v="527"/>
  </r>
  <r>
    <x v="574"/>
    <x v="488"/>
    <x v="2"/>
    <x v="26"/>
    <x v="810"/>
    <x v="10"/>
    <x v="0"/>
    <x v="822"/>
    <n v="102.3"/>
    <x v="348"/>
    <x v="119"/>
    <x v="1"/>
    <x v="1"/>
    <x v="3"/>
    <x v="2"/>
    <x v="9"/>
    <x v="571"/>
    <x v="5"/>
    <x v="576"/>
  </r>
  <r>
    <x v="575"/>
    <x v="489"/>
    <x v="1"/>
    <x v="23"/>
    <x v="811"/>
    <x v="6"/>
    <x v="0"/>
    <x v="823"/>
    <n v="14.42"/>
    <x v="157"/>
    <x v="128"/>
    <x v="1"/>
    <x v="1"/>
    <x v="0"/>
    <x v="1"/>
    <x v="13"/>
    <x v="221"/>
    <x v="4"/>
    <x v="577"/>
  </r>
  <r>
    <x v="576"/>
    <x v="17"/>
    <x v="3"/>
    <x v="16"/>
    <x v="812"/>
    <x v="1"/>
    <x v="0"/>
    <x v="824"/>
    <n v="6.68"/>
    <x v="349"/>
    <x v="117"/>
    <x v="1"/>
    <x v="1"/>
    <x v="1"/>
    <x v="1"/>
    <x v="5"/>
    <x v="572"/>
    <x v="0"/>
    <x v="578"/>
  </r>
  <r>
    <x v="576"/>
    <x v="17"/>
    <x v="3"/>
    <x v="21"/>
    <x v="813"/>
    <x v="2"/>
    <x v="0"/>
    <x v="825"/>
    <n v="9.11"/>
    <x v="189"/>
    <x v="117"/>
    <x v="1"/>
    <x v="1"/>
    <x v="1"/>
    <x v="1"/>
    <x v="5"/>
    <x v="275"/>
    <x v="3"/>
    <x v="579"/>
  </r>
  <r>
    <x v="577"/>
    <x v="490"/>
    <x v="4"/>
    <x v="43"/>
    <x v="814"/>
    <x v="9"/>
    <x v="0"/>
    <x v="826"/>
    <n v="155.99"/>
    <x v="1"/>
    <x v="116"/>
    <x v="1"/>
    <x v="1"/>
    <x v="3"/>
    <x v="0"/>
    <x v="7"/>
    <x v="573"/>
    <x v="0"/>
    <x v="458"/>
  </r>
  <r>
    <x v="578"/>
    <x v="491"/>
    <x v="4"/>
    <x v="17"/>
    <x v="815"/>
    <x v="5"/>
    <x v="0"/>
    <x v="827"/>
    <n v="35.99"/>
    <x v="350"/>
    <x v="126"/>
    <x v="1"/>
    <x v="1"/>
    <x v="0"/>
    <x v="0"/>
    <x v="7"/>
    <x v="574"/>
    <x v="0"/>
    <x v="301"/>
  </r>
  <r>
    <x v="579"/>
    <x v="492"/>
    <x v="0"/>
    <x v="16"/>
    <x v="816"/>
    <x v="8"/>
    <x v="0"/>
    <x v="828"/>
    <n v="5.08"/>
    <x v="351"/>
    <x v="117"/>
    <x v="1"/>
    <x v="1"/>
    <x v="3"/>
    <x v="2"/>
    <x v="9"/>
    <x v="575"/>
    <x v="3"/>
    <x v="580"/>
  </r>
  <r>
    <x v="579"/>
    <x v="492"/>
    <x v="0"/>
    <x v="18"/>
    <x v="817"/>
    <x v="9"/>
    <x v="0"/>
    <x v="829"/>
    <n v="35.99"/>
    <x v="64"/>
    <x v="117"/>
    <x v="1"/>
    <x v="1"/>
    <x v="3"/>
    <x v="0"/>
    <x v="7"/>
    <x v="576"/>
    <x v="0"/>
    <x v="580"/>
  </r>
  <r>
    <x v="580"/>
    <x v="493"/>
    <x v="4"/>
    <x v="3"/>
    <x v="818"/>
    <x v="2"/>
    <x v="0"/>
    <x v="830"/>
    <n v="4.91"/>
    <x v="324"/>
    <x v="119"/>
    <x v="1"/>
    <x v="1"/>
    <x v="3"/>
    <x v="1"/>
    <x v="3"/>
    <x v="577"/>
    <x v="0"/>
    <x v="581"/>
  </r>
  <r>
    <x v="580"/>
    <x v="493"/>
    <x v="4"/>
    <x v="34"/>
    <x v="819"/>
    <x v="5"/>
    <x v="0"/>
    <x v="831"/>
    <n v="5.34"/>
    <x v="168"/>
    <x v="119"/>
    <x v="1"/>
    <x v="1"/>
    <x v="3"/>
    <x v="1"/>
    <x v="3"/>
    <x v="431"/>
    <x v="0"/>
    <x v="296"/>
  </r>
  <r>
    <x v="580"/>
    <x v="493"/>
    <x v="4"/>
    <x v="8"/>
    <x v="820"/>
    <x v="7"/>
    <x v="0"/>
    <x v="832"/>
    <n v="55.99"/>
    <x v="64"/>
    <x v="119"/>
    <x v="1"/>
    <x v="1"/>
    <x v="3"/>
    <x v="0"/>
    <x v="7"/>
    <x v="578"/>
    <x v="1"/>
    <x v="296"/>
  </r>
  <r>
    <x v="581"/>
    <x v="494"/>
    <x v="0"/>
    <x v="17"/>
    <x v="821"/>
    <x v="6"/>
    <x v="0"/>
    <x v="833"/>
    <n v="218.08"/>
    <x v="249"/>
    <x v="130"/>
    <x v="1"/>
    <x v="1"/>
    <x v="1"/>
    <x v="2"/>
    <x v="14"/>
    <x v="388"/>
    <x v="5"/>
    <x v="582"/>
  </r>
  <r>
    <x v="581"/>
    <x v="494"/>
    <x v="0"/>
    <x v="22"/>
    <x v="822"/>
    <x v="5"/>
    <x v="0"/>
    <x v="834"/>
    <n v="4.9800000000000004"/>
    <x v="141"/>
    <x v="130"/>
    <x v="1"/>
    <x v="1"/>
    <x v="1"/>
    <x v="0"/>
    <x v="0"/>
    <x v="354"/>
    <x v="1"/>
    <x v="582"/>
  </r>
  <r>
    <x v="582"/>
    <x v="243"/>
    <x v="0"/>
    <x v="26"/>
    <x v="823"/>
    <x v="1"/>
    <x v="0"/>
    <x v="835"/>
    <n v="205.99"/>
    <x v="64"/>
    <x v="128"/>
    <x v="1"/>
    <x v="1"/>
    <x v="0"/>
    <x v="0"/>
    <x v="7"/>
    <x v="579"/>
    <x v="0"/>
    <x v="297"/>
  </r>
  <r>
    <x v="583"/>
    <x v="495"/>
    <x v="3"/>
    <x v="19"/>
    <x v="824"/>
    <x v="7"/>
    <x v="0"/>
    <x v="836"/>
    <n v="55.5"/>
    <x v="284"/>
    <x v="66"/>
    <x v="1"/>
    <x v="1"/>
    <x v="0"/>
    <x v="2"/>
    <x v="9"/>
    <x v="580"/>
    <x v="4"/>
    <x v="583"/>
  </r>
  <r>
    <x v="583"/>
    <x v="495"/>
    <x v="3"/>
    <x v="1"/>
    <x v="825"/>
    <x v="2"/>
    <x v="1"/>
    <x v="837"/>
    <n v="227.55"/>
    <x v="352"/>
    <x v="66"/>
    <x v="1"/>
    <x v="1"/>
    <x v="0"/>
    <x v="2"/>
    <x v="2"/>
    <x v="581"/>
    <x v="2"/>
    <x v="584"/>
  </r>
  <r>
    <x v="584"/>
    <x v="463"/>
    <x v="2"/>
    <x v="14"/>
    <x v="826"/>
    <x v="1"/>
    <x v="0"/>
    <x v="838"/>
    <n v="89.83"/>
    <x v="66"/>
    <x v="122"/>
    <x v="1"/>
    <x v="1"/>
    <x v="2"/>
    <x v="1"/>
    <x v="6"/>
    <x v="582"/>
    <x v="5"/>
    <x v="553"/>
  </r>
  <r>
    <x v="585"/>
    <x v="496"/>
    <x v="3"/>
    <x v="24"/>
    <x v="827"/>
    <x v="0"/>
    <x v="2"/>
    <x v="839"/>
    <n v="18.97"/>
    <x v="222"/>
    <x v="128"/>
    <x v="1"/>
    <x v="1"/>
    <x v="0"/>
    <x v="1"/>
    <x v="5"/>
    <x v="347"/>
    <x v="0"/>
    <x v="585"/>
  </r>
  <r>
    <x v="586"/>
    <x v="260"/>
    <x v="4"/>
    <x v="41"/>
    <x v="828"/>
    <x v="9"/>
    <x v="0"/>
    <x v="840"/>
    <n v="49.99"/>
    <x v="0"/>
    <x v="121"/>
    <x v="1"/>
    <x v="1"/>
    <x v="0"/>
    <x v="0"/>
    <x v="0"/>
    <x v="583"/>
    <x v="0"/>
    <x v="316"/>
  </r>
  <r>
    <x v="587"/>
    <x v="265"/>
    <x v="0"/>
    <x v="8"/>
    <x v="829"/>
    <x v="4"/>
    <x v="0"/>
    <x v="841"/>
    <n v="20.99"/>
    <x v="353"/>
    <x v="121"/>
    <x v="1"/>
    <x v="1"/>
    <x v="0"/>
    <x v="0"/>
    <x v="7"/>
    <x v="584"/>
    <x v="1"/>
    <x v="327"/>
  </r>
  <r>
    <x v="588"/>
    <x v="497"/>
    <x v="2"/>
    <x v="9"/>
    <x v="830"/>
    <x v="9"/>
    <x v="0"/>
    <x v="842"/>
    <n v="73.98"/>
    <x v="32"/>
    <x v="131"/>
    <x v="1"/>
    <x v="1"/>
    <x v="3"/>
    <x v="0"/>
    <x v="0"/>
    <x v="46"/>
    <x v="0"/>
    <x v="160"/>
  </r>
  <r>
    <x v="589"/>
    <x v="24"/>
    <x v="3"/>
    <x v="27"/>
    <x v="831"/>
    <x v="4"/>
    <x v="0"/>
    <x v="843"/>
    <n v="80.98"/>
    <x v="66"/>
    <x v="119"/>
    <x v="1"/>
    <x v="1"/>
    <x v="3"/>
    <x v="1"/>
    <x v="6"/>
    <x v="585"/>
    <x v="5"/>
    <x v="586"/>
  </r>
  <r>
    <x v="589"/>
    <x v="24"/>
    <x v="3"/>
    <x v="18"/>
    <x v="832"/>
    <x v="4"/>
    <x v="0"/>
    <x v="844"/>
    <n v="279.48"/>
    <x v="66"/>
    <x v="119"/>
    <x v="1"/>
    <x v="1"/>
    <x v="3"/>
    <x v="1"/>
    <x v="6"/>
    <x v="586"/>
    <x v="5"/>
    <x v="587"/>
  </r>
  <r>
    <x v="590"/>
    <x v="4"/>
    <x v="1"/>
    <x v="21"/>
    <x v="833"/>
    <x v="9"/>
    <x v="0"/>
    <x v="845"/>
    <n v="65.989999999999995"/>
    <x v="1"/>
    <x v="125"/>
    <x v="1"/>
    <x v="1"/>
    <x v="2"/>
    <x v="0"/>
    <x v="7"/>
    <x v="157"/>
    <x v="0"/>
    <x v="399"/>
  </r>
  <r>
    <x v="591"/>
    <x v="498"/>
    <x v="1"/>
    <x v="44"/>
    <x v="834"/>
    <x v="3"/>
    <x v="2"/>
    <x v="846"/>
    <n v="28.48"/>
    <x v="10"/>
    <x v="115"/>
    <x v="1"/>
    <x v="1"/>
    <x v="3"/>
    <x v="0"/>
    <x v="0"/>
    <x v="587"/>
    <x v="1"/>
    <x v="177"/>
  </r>
  <r>
    <x v="592"/>
    <x v="499"/>
    <x v="1"/>
    <x v="24"/>
    <x v="835"/>
    <x v="7"/>
    <x v="0"/>
    <x v="847"/>
    <n v="90.24"/>
    <x v="22"/>
    <x v="131"/>
    <x v="1"/>
    <x v="1"/>
    <x v="3"/>
    <x v="1"/>
    <x v="13"/>
    <x v="468"/>
    <x v="0"/>
    <x v="588"/>
  </r>
  <r>
    <x v="593"/>
    <x v="500"/>
    <x v="2"/>
    <x v="39"/>
    <x v="836"/>
    <x v="7"/>
    <x v="0"/>
    <x v="848"/>
    <n v="17.98"/>
    <x v="13"/>
    <x v="122"/>
    <x v="1"/>
    <x v="1"/>
    <x v="2"/>
    <x v="0"/>
    <x v="0"/>
    <x v="588"/>
    <x v="0"/>
    <x v="403"/>
  </r>
  <r>
    <x v="594"/>
    <x v="449"/>
    <x v="3"/>
    <x v="10"/>
    <x v="837"/>
    <x v="9"/>
    <x v="0"/>
    <x v="849"/>
    <n v="6.48"/>
    <x v="11"/>
    <x v="130"/>
    <x v="1"/>
    <x v="1"/>
    <x v="1"/>
    <x v="1"/>
    <x v="5"/>
    <x v="11"/>
    <x v="0"/>
    <x v="324"/>
  </r>
  <r>
    <x v="595"/>
    <x v="501"/>
    <x v="2"/>
    <x v="3"/>
    <x v="838"/>
    <x v="6"/>
    <x v="0"/>
    <x v="850"/>
    <n v="95.99"/>
    <x v="67"/>
    <x v="120"/>
    <x v="1"/>
    <x v="1"/>
    <x v="0"/>
    <x v="0"/>
    <x v="7"/>
    <x v="91"/>
    <x v="0"/>
    <x v="137"/>
  </r>
  <r>
    <x v="596"/>
    <x v="502"/>
    <x v="3"/>
    <x v="7"/>
    <x v="839"/>
    <x v="9"/>
    <x v="0"/>
    <x v="851"/>
    <n v="14.34"/>
    <x v="64"/>
    <x v="123"/>
    <x v="1"/>
    <x v="1"/>
    <x v="1"/>
    <x v="2"/>
    <x v="9"/>
    <x v="88"/>
    <x v="1"/>
    <x v="589"/>
  </r>
  <r>
    <x v="596"/>
    <x v="502"/>
    <x v="3"/>
    <x v="21"/>
    <x v="840"/>
    <x v="2"/>
    <x v="0"/>
    <x v="852"/>
    <n v="1.1399999999999999"/>
    <x v="16"/>
    <x v="123"/>
    <x v="1"/>
    <x v="1"/>
    <x v="1"/>
    <x v="1"/>
    <x v="11"/>
    <x v="177"/>
    <x v="3"/>
    <x v="590"/>
  </r>
  <r>
    <x v="597"/>
    <x v="71"/>
    <x v="3"/>
    <x v="4"/>
    <x v="841"/>
    <x v="10"/>
    <x v="0"/>
    <x v="853"/>
    <n v="165.98"/>
    <x v="0"/>
    <x v="120"/>
    <x v="1"/>
    <x v="1"/>
    <x v="0"/>
    <x v="1"/>
    <x v="3"/>
    <x v="589"/>
    <x v="0"/>
    <x v="591"/>
  </r>
  <r>
    <x v="597"/>
    <x v="71"/>
    <x v="3"/>
    <x v="49"/>
    <x v="842"/>
    <x v="6"/>
    <x v="0"/>
    <x v="854"/>
    <n v="1.6"/>
    <x v="254"/>
    <x v="120"/>
    <x v="1"/>
    <x v="1"/>
    <x v="0"/>
    <x v="1"/>
    <x v="1"/>
    <x v="397"/>
    <x v="3"/>
    <x v="591"/>
  </r>
  <r>
    <x v="598"/>
    <x v="503"/>
    <x v="1"/>
    <x v="25"/>
    <x v="843"/>
    <x v="4"/>
    <x v="0"/>
    <x v="855"/>
    <n v="8.85"/>
    <x v="73"/>
    <x v="119"/>
    <x v="1"/>
    <x v="1"/>
    <x v="3"/>
    <x v="1"/>
    <x v="3"/>
    <x v="101"/>
    <x v="0"/>
    <x v="592"/>
  </r>
  <r>
    <x v="599"/>
    <x v="504"/>
    <x v="0"/>
    <x v="18"/>
    <x v="844"/>
    <x v="0"/>
    <x v="0"/>
    <x v="856"/>
    <n v="279.48"/>
    <x v="66"/>
    <x v="129"/>
    <x v="1"/>
    <x v="1"/>
    <x v="1"/>
    <x v="1"/>
    <x v="6"/>
    <x v="586"/>
    <x v="5"/>
    <x v="593"/>
  </r>
  <r>
    <x v="600"/>
    <x v="505"/>
    <x v="0"/>
    <x v="6"/>
    <x v="845"/>
    <x v="9"/>
    <x v="2"/>
    <x v="857"/>
    <n v="55.99"/>
    <x v="64"/>
    <x v="130"/>
    <x v="1"/>
    <x v="1"/>
    <x v="1"/>
    <x v="0"/>
    <x v="7"/>
    <x v="578"/>
    <x v="1"/>
    <x v="594"/>
  </r>
  <r>
    <x v="601"/>
    <x v="506"/>
    <x v="3"/>
    <x v="15"/>
    <x v="846"/>
    <x v="5"/>
    <x v="1"/>
    <x v="858"/>
    <n v="2036.48"/>
    <x v="121"/>
    <x v="127"/>
    <x v="1"/>
    <x v="1"/>
    <x v="1"/>
    <x v="0"/>
    <x v="15"/>
    <x v="193"/>
    <x v="6"/>
    <x v="351"/>
  </r>
  <r>
    <x v="602"/>
    <x v="205"/>
    <x v="3"/>
    <x v="17"/>
    <x v="847"/>
    <x v="5"/>
    <x v="2"/>
    <x v="859"/>
    <n v="30.98"/>
    <x v="354"/>
    <x v="117"/>
    <x v="1"/>
    <x v="1"/>
    <x v="1"/>
    <x v="1"/>
    <x v="4"/>
    <x v="590"/>
    <x v="0"/>
    <x v="595"/>
  </r>
  <r>
    <x v="603"/>
    <x v="214"/>
    <x v="1"/>
    <x v="15"/>
    <x v="848"/>
    <x v="4"/>
    <x v="1"/>
    <x v="860"/>
    <n v="3502.14"/>
    <x v="87"/>
    <x v="126"/>
    <x v="1"/>
    <x v="1"/>
    <x v="3"/>
    <x v="0"/>
    <x v="15"/>
    <x v="121"/>
    <x v="2"/>
    <x v="596"/>
  </r>
  <r>
    <x v="603"/>
    <x v="214"/>
    <x v="1"/>
    <x v="13"/>
    <x v="849"/>
    <x v="4"/>
    <x v="0"/>
    <x v="861"/>
    <n v="34.58"/>
    <x v="1"/>
    <x v="126"/>
    <x v="1"/>
    <x v="1"/>
    <x v="3"/>
    <x v="1"/>
    <x v="1"/>
    <x v="77"/>
    <x v="1"/>
    <x v="267"/>
  </r>
  <r>
    <x v="603"/>
    <x v="214"/>
    <x v="1"/>
    <x v="11"/>
    <x v="850"/>
    <x v="0"/>
    <x v="0"/>
    <x v="862"/>
    <n v="12.21"/>
    <x v="97"/>
    <x v="126"/>
    <x v="1"/>
    <x v="1"/>
    <x v="3"/>
    <x v="1"/>
    <x v="6"/>
    <x v="591"/>
    <x v="0"/>
    <x v="267"/>
  </r>
  <r>
    <x v="604"/>
    <x v="268"/>
    <x v="2"/>
    <x v="37"/>
    <x v="851"/>
    <x v="1"/>
    <x v="0"/>
    <x v="863"/>
    <n v="5.28"/>
    <x v="355"/>
    <x v="130"/>
    <x v="1"/>
    <x v="1"/>
    <x v="1"/>
    <x v="1"/>
    <x v="5"/>
    <x v="592"/>
    <x v="0"/>
    <x v="331"/>
  </r>
  <r>
    <x v="604"/>
    <x v="268"/>
    <x v="2"/>
    <x v="2"/>
    <x v="852"/>
    <x v="6"/>
    <x v="0"/>
    <x v="864"/>
    <n v="59.76"/>
    <x v="356"/>
    <x v="130"/>
    <x v="1"/>
    <x v="1"/>
    <x v="1"/>
    <x v="1"/>
    <x v="6"/>
    <x v="593"/>
    <x v="0"/>
    <x v="332"/>
  </r>
  <r>
    <x v="605"/>
    <x v="507"/>
    <x v="1"/>
    <x v="44"/>
    <x v="853"/>
    <x v="7"/>
    <x v="0"/>
    <x v="865"/>
    <n v="10.98"/>
    <x v="298"/>
    <x v="128"/>
    <x v="1"/>
    <x v="1"/>
    <x v="0"/>
    <x v="1"/>
    <x v="16"/>
    <x v="509"/>
    <x v="1"/>
    <x v="597"/>
  </r>
  <r>
    <x v="606"/>
    <x v="170"/>
    <x v="1"/>
    <x v="26"/>
    <x v="854"/>
    <x v="2"/>
    <x v="0"/>
    <x v="866"/>
    <n v="1.48"/>
    <x v="16"/>
    <x v="132"/>
    <x v="1"/>
    <x v="1"/>
    <x v="2"/>
    <x v="1"/>
    <x v="11"/>
    <x v="594"/>
    <x v="3"/>
    <x v="127"/>
  </r>
  <r>
    <x v="607"/>
    <x v="508"/>
    <x v="3"/>
    <x v="13"/>
    <x v="855"/>
    <x v="4"/>
    <x v="0"/>
    <x v="867"/>
    <n v="6.48"/>
    <x v="196"/>
    <x v="125"/>
    <x v="1"/>
    <x v="1"/>
    <x v="2"/>
    <x v="1"/>
    <x v="5"/>
    <x v="286"/>
    <x v="0"/>
    <x v="598"/>
  </r>
  <r>
    <x v="608"/>
    <x v="509"/>
    <x v="2"/>
    <x v="6"/>
    <x v="856"/>
    <x v="1"/>
    <x v="0"/>
    <x v="868"/>
    <n v="26.64"/>
    <x v="20"/>
    <x v="119"/>
    <x v="1"/>
    <x v="1"/>
    <x v="3"/>
    <x v="2"/>
    <x v="14"/>
    <x v="595"/>
    <x v="4"/>
    <x v="599"/>
  </r>
  <r>
    <x v="608"/>
    <x v="509"/>
    <x v="2"/>
    <x v="1"/>
    <x v="857"/>
    <x v="2"/>
    <x v="0"/>
    <x v="869"/>
    <n v="9.99"/>
    <x v="357"/>
    <x v="119"/>
    <x v="1"/>
    <x v="1"/>
    <x v="3"/>
    <x v="1"/>
    <x v="5"/>
    <x v="596"/>
    <x v="0"/>
    <x v="599"/>
  </r>
  <r>
    <x v="608"/>
    <x v="509"/>
    <x v="2"/>
    <x v="14"/>
    <x v="858"/>
    <x v="0"/>
    <x v="0"/>
    <x v="870"/>
    <n v="3.55"/>
    <x v="358"/>
    <x v="119"/>
    <x v="1"/>
    <x v="1"/>
    <x v="3"/>
    <x v="1"/>
    <x v="11"/>
    <x v="597"/>
    <x v="3"/>
    <x v="599"/>
  </r>
  <r>
    <x v="609"/>
    <x v="399"/>
    <x v="1"/>
    <x v="38"/>
    <x v="859"/>
    <x v="4"/>
    <x v="0"/>
    <x v="871"/>
    <n v="60.22"/>
    <x v="124"/>
    <x v="125"/>
    <x v="1"/>
    <x v="1"/>
    <x v="0"/>
    <x v="1"/>
    <x v="13"/>
    <x v="598"/>
    <x v="0"/>
    <x v="555"/>
  </r>
  <r>
    <x v="610"/>
    <x v="510"/>
    <x v="4"/>
    <x v="23"/>
    <x v="860"/>
    <x v="3"/>
    <x v="2"/>
    <x v="872"/>
    <n v="4.9800000000000004"/>
    <x v="308"/>
    <x v="131"/>
    <x v="1"/>
    <x v="1"/>
    <x v="3"/>
    <x v="1"/>
    <x v="8"/>
    <x v="495"/>
    <x v="0"/>
    <x v="600"/>
  </r>
  <r>
    <x v="610"/>
    <x v="510"/>
    <x v="4"/>
    <x v="26"/>
    <x v="861"/>
    <x v="0"/>
    <x v="0"/>
    <x v="873"/>
    <n v="80.98"/>
    <x v="66"/>
    <x v="131"/>
    <x v="1"/>
    <x v="1"/>
    <x v="3"/>
    <x v="1"/>
    <x v="6"/>
    <x v="599"/>
    <x v="5"/>
    <x v="601"/>
  </r>
  <r>
    <x v="610"/>
    <x v="510"/>
    <x v="4"/>
    <x v="2"/>
    <x v="862"/>
    <x v="2"/>
    <x v="0"/>
    <x v="874"/>
    <n v="115.99"/>
    <x v="29"/>
    <x v="131"/>
    <x v="1"/>
    <x v="1"/>
    <x v="3"/>
    <x v="0"/>
    <x v="7"/>
    <x v="600"/>
    <x v="0"/>
    <x v="601"/>
  </r>
  <r>
    <x v="611"/>
    <x v="286"/>
    <x v="1"/>
    <x v="14"/>
    <x v="863"/>
    <x v="3"/>
    <x v="0"/>
    <x v="875"/>
    <n v="40.98"/>
    <x v="115"/>
    <x v="133"/>
    <x v="1"/>
    <x v="1"/>
    <x v="2"/>
    <x v="0"/>
    <x v="0"/>
    <x v="170"/>
    <x v="0"/>
    <x v="602"/>
  </r>
  <r>
    <x v="612"/>
    <x v="511"/>
    <x v="1"/>
    <x v="24"/>
    <x v="864"/>
    <x v="5"/>
    <x v="0"/>
    <x v="876"/>
    <n v="6.48"/>
    <x v="260"/>
    <x v="66"/>
    <x v="1"/>
    <x v="1"/>
    <x v="0"/>
    <x v="1"/>
    <x v="5"/>
    <x v="458"/>
    <x v="0"/>
    <x v="174"/>
  </r>
  <r>
    <x v="612"/>
    <x v="511"/>
    <x v="1"/>
    <x v="9"/>
    <x v="865"/>
    <x v="3"/>
    <x v="0"/>
    <x v="877"/>
    <n v="35.99"/>
    <x v="22"/>
    <x v="66"/>
    <x v="1"/>
    <x v="1"/>
    <x v="0"/>
    <x v="0"/>
    <x v="7"/>
    <x v="543"/>
    <x v="1"/>
    <x v="603"/>
  </r>
  <r>
    <x v="613"/>
    <x v="512"/>
    <x v="4"/>
    <x v="7"/>
    <x v="866"/>
    <x v="8"/>
    <x v="0"/>
    <x v="878"/>
    <n v="194.3"/>
    <x v="162"/>
    <x v="131"/>
    <x v="1"/>
    <x v="1"/>
    <x v="3"/>
    <x v="2"/>
    <x v="9"/>
    <x v="227"/>
    <x v="5"/>
    <x v="604"/>
  </r>
  <r>
    <x v="614"/>
    <x v="460"/>
    <x v="4"/>
    <x v="10"/>
    <x v="867"/>
    <x v="2"/>
    <x v="0"/>
    <x v="879"/>
    <n v="21.66"/>
    <x v="24"/>
    <x v="126"/>
    <x v="1"/>
    <x v="1"/>
    <x v="0"/>
    <x v="1"/>
    <x v="13"/>
    <x v="601"/>
    <x v="4"/>
    <x v="549"/>
  </r>
  <r>
    <x v="615"/>
    <x v="104"/>
    <x v="1"/>
    <x v="35"/>
    <x v="868"/>
    <x v="0"/>
    <x v="0"/>
    <x v="880"/>
    <n v="5.81"/>
    <x v="298"/>
    <x v="127"/>
    <x v="1"/>
    <x v="1"/>
    <x v="3"/>
    <x v="1"/>
    <x v="11"/>
    <x v="474"/>
    <x v="3"/>
    <x v="588"/>
  </r>
  <r>
    <x v="616"/>
    <x v="513"/>
    <x v="0"/>
    <x v="48"/>
    <x v="869"/>
    <x v="5"/>
    <x v="0"/>
    <x v="881"/>
    <n v="3.52"/>
    <x v="359"/>
    <x v="126"/>
    <x v="1"/>
    <x v="1"/>
    <x v="0"/>
    <x v="1"/>
    <x v="3"/>
    <x v="602"/>
    <x v="0"/>
    <x v="65"/>
  </r>
  <r>
    <x v="617"/>
    <x v="514"/>
    <x v="0"/>
    <x v="49"/>
    <x v="870"/>
    <x v="4"/>
    <x v="0"/>
    <x v="882"/>
    <n v="8.0399999999999991"/>
    <x v="317"/>
    <x v="127"/>
    <x v="1"/>
    <x v="1"/>
    <x v="3"/>
    <x v="1"/>
    <x v="3"/>
    <x v="506"/>
    <x v="0"/>
    <x v="57"/>
  </r>
  <r>
    <x v="618"/>
    <x v="464"/>
    <x v="3"/>
    <x v="7"/>
    <x v="7"/>
    <x v="9"/>
    <x v="0"/>
    <x v="883"/>
    <n v="10.94"/>
    <x v="126"/>
    <x v="115"/>
    <x v="1"/>
    <x v="1"/>
    <x v="3"/>
    <x v="1"/>
    <x v="4"/>
    <x v="603"/>
    <x v="0"/>
    <x v="605"/>
  </r>
  <r>
    <x v="619"/>
    <x v="515"/>
    <x v="3"/>
    <x v="41"/>
    <x v="871"/>
    <x v="1"/>
    <x v="0"/>
    <x v="884"/>
    <n v="599.99"/>
    <x v="37"/>
    <x v="121"/>
    <x v="1"/>
    <x v="1"/>
    <x v="0"/>
    <x v="0"/>
    <x v="12"/>
    <x v="604"/>
    <x v="5"/>
    <x v="606"/>
  </r>
  <r>
    <x v="619"/>
    <x v="515"/>
    <x v="3"/>
    <x v="26"/>
    <x v="872"/>
    <x v="1"/>
    <x v="0"/>
    <x v="885"/>
    <n v="40.97"/>
    <x v="360"/>
    <x v="121"/>
    <x v="1"/>
    <x v="1"/>
    <x v="0"/>
    <x v="2"/>
    <x v="9"/>
    <x v="605"/>
    <x v="5"/>
    <x v="607"/>
  </r>
  <r>
    <x v="619"/>
    <x v="515"/>
    <x v="3"/>
    <x v="4"/>
    <x v="873"/>
    <x v="6"/>
    <x v="0"/>
    <x v="886"/>
    <n v="6.48"/>
    <x v="361"/>
    <x v="121"/>
    <x v="1"/>
    <x v="1"/>
    <x v="0"/>
    <x v="1"/>
    <x v="5"/>
    <x v="606"/>
    <x v="0"/>
    <x v="608"/>
  </r>
  <r>
    <x v="620"/>
    <x v="99"/>
    <x v="0"/>
    <x v="21"/>
    <x v="874"/>
    <x v="6"/>
    <x v="0"/>
    <x v="887"/>
    <n v="18.940000000000001"/>
    <x v="6"/>
    <x v="121"/>
    <x v="1"/>
    <x v="1"/>
    <x v="0"/>
    <x v="1"/>
    <x v="3"/>
    <x v="607"/>
    <x v="0"/>
    <x v="216"/>
  </r>
  <r>
    <x v="620"/>
    <x v="99"/>
    <x v="0"/>
    <x v="43"/>
    <x v="875"/>
    <x v="3"/>
    <x v="0"/>
    <x v="888"/>
    <n v="2.98"/>
    <x v="77"/>
    <x v="121"/>
    <x v="1"/>
    <x v="1"/>
    <x v="0"/>
    <x v="1"/>
    <x v="1"/>
    <x v="219"/>
    <x v="3"/>
    <x v="217"/>
  </r>
  <r>
    <x v="621"/>
    <x v="206"/>
    <x v="0"/>
    <x v="30"/>
    <x v="876"/>
    <x v="6"/>
    <x v="1"/>
    <x v="889"/>
    <n v="349.45"/>
    <x v="38"/>
    <x v="133"/>
    <x v="1"/>
    <x v="1"/>
    <x v="2"/>
    <x v="2"/>
    <x v="2"/>
    <x v="342"/>
    <x v="6"/>
    <x v="259"/>
  </r>
  <r>
    <x v="622"/>
    <x v="456"/>
    <x v="0"/>
    <x v="4"/>
    <x v="877"/>
    <x v="2"/>
    <x v="0"/>
    <x v="890"/>
    <n v="48.92"/>
    <x v="39"/>
    <x v="119"/>
    <x v="1"/>
    <x v="1"/>
    <x v="3"/>
    <x v="1"/>
    <x v="13"/>
    <x v="96"/>
    <x v="0"/>
    <x v="171"/>
  </r>
  <r>
    <x v="622"/>
    <x v="456"/>
    <x v="0"/>
    <x v="29"/>
    <x v="878"/>
    <x v="0"/>
    <x v="0"/>
    <x v="891"/>
    <n v="7.38"/>
    <x v="164"/>
    <x v="119"/>
    <x v="1"/>
    <x v="1"/>
    <x v="3"/>
    <x v="2"/>
    <x v="9"/>
    <x v="229"/>
    <x v="0"/>
    <x v="420"/>
  </r>
  <r>
    <x v="623"/>
    <x v="516"/>
    <x v="4"/>
    <x v="34"/>
    <x v="879"/>
    <x v="8"/>
    <x v="0"/>
    <x v="892"/>
    <n v="115.99"/>
    <x v="362"/>
    <x v="129"/>
    <x v="1"/>
    <x v="1"/>
    <x v="1"/>
    <x v="0"/>
    <x v="7"/>
    <x v="608"/>
    <x v="0"/>
    <x v="71"/>
  </r>
  <r>
    <x v="624"/>
    <x v="517"/>
    <x v="3"/>
    <x v="22"/>
    <x v="880"/>
    <x v="1"/>
    <x v="0"/>
    <x v="893"/>
    <n v="34.76"/>
    <x v="110"/>
    <x v="126"/>
    <x v="1"/>
    <x v="1"/>
    <x v="3"/>
    <x v="1"/>
    <x v="6"/>
    <x v="159"/>
    <x v="0"/>
    <x v="76"/>
  </r>
  <r>
    <x v="625"/>
    <x v="518"/>
    <x v="2"/>
    <x v="3"/>
    <x v="881"/>
    <x v="5"/>
    <x v="2"/>
    <x v="894"/>
    <n v="20.99"/>
    <x v="353"/>
    <x v="127"/>
    <x v="1"/>
    <x v="1"/>
    <x v="3"/>
    <x v="0"/>
    <x v="7"/>
    <x v="584"/>
    <x v="1"/>
    <x v="609"/>
  </r>
  <r>
    <x v="626"/>
    <x v="231"/>
    <x v="3"/>
    <x v="30"/>
    <x v="882"/>
    <x v="1"/>
    <x v="0"/>
    <x v="895"/>
    <n v="1.98"/>
    <x v="293"/>
    <x v="131"/>
    <x v="1"/>
    <x v="1"/>
    <x v="3"/>
    <x v="1"/>
    <x v="3"/>
    <x v="465"/>
    <x v="0"/>
    <x v="56"/>
  </r>
  <r>
    <x v="627"/>
    <x v="519"/>
    <x v="0"/>
    <x v="28"/>
    <x v="883"/>
    <x v="9"/>
    <x v="0"/>
    <x v="896"/>
    <n v="65.989999999999995"/>
    <x v="363"/>
    <x v="127"/>
    <x v="1"/>
    <x v="1"/>
    <x v="1"/>
    <x v="0"/>
    <x v="7"/>
    <x v="609"/>
    <x v="0"/>
    <x v="610"/>
  </r>
  <r>
    <x v="628"/>
    <x v="520"/>
    <x v="4"/>
    <x v="31"/>
    <x v="884"/>
    <x v="8"/>
    <x v="2"/>
    <x v="897"/>
    <n v="19.98"/>
    <x v="364"/>
    <x v="129"/>
    <x v="1"/>
    <x v="1"/>
    <x v="1"/>
    <x v="1"/>
    <x v="5"/>
    <x v="610"/>
    <x v="0"/>
    <x v="611"/>
  </r>
  <r>
    <x v="628"/>
    <x v="520"/>
    <x v="4"/>
    <x v="22"/>
    <x v="885"/>
    <x v="7"/>
    <x v="1"/>
    <x v="898"/>
    <n v="259.70999999999998"/>
    <x v="155"/>
    <x v="129"/>
    <x v="1"/>
    <x v="1"/>
    <x v="1"/>
    <x v="2"/>
    <x v="2"/>
    <x v="214"/>
    <x v="2"/>
    <x v="612"/>
  </r>
  <r>
    <x v="629"/>
    <x v="521"/>
    <x v="1"/>
    <x v="44"/>
    <x v="886"/>
    <x v="2"/>
    <x v="0"/>
    <x v="899"/>
    <n v="85.99"/>
    <x v="22"/>
    <x v="133"/>
    <x v="1"/>
    <x v="1"/>
    <x v="2"/>
    <x v="0"/>
    <x v="7"/>
    <x v="149"/>
    <x v="3"/>
    <x v="613"/>
  </r>
  <r>
    <x v="630"/>
    <x v="522"/>
    <x v="3"/>
    <x v="29"/>
    <x v="887"/>
    <x v="3"/>
    <x v="2"/>
    <x v="900"/>
    <n v="11.55"/>
    <x v="182"/>
    <x v="127"/>
    <x v="1"/>
    <x v="1"/>
    <x v="3"/>
    <x v="1"/>
    <x v="1"/>
    <x v="260"/>
    <x v="3"/>
    <x v="578"/>
  </r>
  <r>
    <x v="630"/>
    <x v="522"/>
    <x v="3"/>
    <x v="40"/>
    <x v="888"/>
    <x v="10"/>
    <x v="0"/>
    <x v="901"/>
    <n v="4.9800000000000004"/>
    <x v="173"/>
    <x v="127"/>
    <x v="1"/>
    <x v="1"/>
    <x v="3"/>
    <x v="1"/>
    <x v="5"/>
    <x v="245"/>
    <x v="0"/>
    <x v="100"/>
  </r>
  <r>
    <x v="631"/>
    <x v="523"/>
    <x v="1"/>
    <x v="12"/>
    <x v="889"/>
    <x v="1"/>
    <x v="0"/>
    <x v="902"/>
    <n v="8.17"/>
    <x v="28"/>
    <x v="123"/>
    <x v="1"/>
    <x v="1"/>
    <x v="1"/>
    <x v="1"/>
    <x v="5"/>
    <x v="42"/>
    <x v="3"/>
    <x v="614"/>
  </r>
  <r>
    <x v="631"/>
    <x v="523"/>
    <x v="1"/>
    <x v="10"/>
    <x v="890"/>
    <x v="1"/>
    <x v="2"/>
    <x v="903"/>
    <n v="8.69"/>
    <x v="168"/>
    <x v="123"/>
    <x v="1"/>
    <x v="1"/>
    <x v="1"/>
    <x v="1"/>
    <x v="3"/>
    <x v="405"/>
    <x v="0"/>
    <x v="614"/>
  </r>
  <r>
    <x v="631"/>
    <x v="523"/>
    <x v="1"/>
    <x v="34"/>
    <x v="891"/>
    <x v="7"/>
    <x v="0"/>
    <x v="904"/>
    <n v="7.08"/>
    <x v="365"/>
    <x v="123"/>
    <x v="1"/>
    <x v="1"/>
    <x v="1"/>
    <x v="1"/>
    <x v="1"/>
    <x v="611"/>
    <x v="3"/>
    <x v="615"/>
  </r>
  <r>
    <x v="632"/>
    <x v="189"/>
    <x v="4"/>
    <x v="49"/>
    <x v="892"/>
    <x v="6"/>
    <x v="0"/>
    <x v="905"/>
    <n v="15.98"/>
    <x v="13"/>
    <x v="129"/>
    <x v="1"/>
    <x v="1"/>
    <x v="1"/>
    <x v="0"/>
    <x v="0"/>
    <x v="23"/>
    <x v="0"/>
    <x v="48"/>
  </r>
  <r>
    <x v="633"/>
    <x v="185"/>
    <x v="2"/>
    <x v="45"/>
    <x v="893"/>
    <x v="4"/>
    <x v="0"/>
    <x v="906"/>
    <n v="10.23"/>
    <x v="146"/>
    <x v="123"/>
    <x v="1"/>
    <x v="1"/>
    <x v="3"/>
    <x v="1"/>
    <x v="16"/>
    <x v="205"/>
    <x v="1"/>
    <x v="234"/>
  </r>
  <r>
    <x v="634"/>
    <x v="402"/>
    <x v="1"/>
    <x v="17"/>
    <x v="894"/>
    <x v="1"/>
    <x v="0"/>
    <x v="907"/>
    <n v="17.670000000000002"/>
    <x v="1"/>
    <x v="119"/>
    <x v="1"/>
    <x v="1"/>
    <x v="3"/>
    <x v="2"/>
    <x v="9"/>
    <x v="84"/>
    <x v="1"/>
    <x v="139"/>
  </r>
  <r>
    <x v="635"/>
    <x v="524"/>
    <x v="4"/>
    <x v="9"/>
    <x v="895"/>
    <x v="8"/>
    <x v="0"/>
    <x v="908"/>
    <n v="276.2"/>
    <x v="37"/>
    <x v="117"/>
    <x v="1"/>
    <x v="1"/>
    <x v="1"/>
    <x v="2"/>
    <x v="14"/>
    <x v="356"/>
    <x v="5"/>
    <x v="616"/>
  </r>
  <r>
    <x v="635"/>
    <x v="524"/>
    <x v="4"/>
    <x v="38"/>
    <x v="896"/>
    <x v="6"/>
    <x v="2"/>
    <x v="909"/>
    <n v="8.1199999999999992"/>
    <x v="68"/>
    <x v="117"/>
    <x v="1"/>
    <x v="1"/>
    <x v="1"/>
    <x v="0"/>
    <x v="0"/>
    <x v="92"/>
    <x v="1"/>
    <x v="616"/>
  </r>
  <r>
    <x v="636"/>
    <x v="296"/>
    <x v="0"/>
    <x v="43"/>
    <x v="897"/>
    <x v="10"/>
    <x v="0"/>
    <x v="910"/>
    <n v="5.78"/>
    <x v="42"/>
    <x v="126"/>
    <x v="1"/>
    <x v="1"/>
    <x v="3"/>
    <x v="1"/>
    <x v="5"/>
    <x v="612"/>
    <x v="0"/>
    <x v="118"/>
  </r>
  <r>
    <x v="637"/>
    <x v="525"/>
    <x v="3"/>
    <x v="38"/>
    <x v="898"/>
    <x v="6"/>
    <x v="0"/>
    <x v="911"/>
    <n v="5.94"/>
    <x v="161"/>
    <x v="129"/>
    <x v="1"/>
    <x v="1"/>
    <x v="1"/>
    <x v="1"/>
    <x v="3"/>
    <x v="226"/>
    <x v="0"/>
    <x v="617"/>
  </r>
  <r>
    <x v="637"/>
    <x v="525"/>
    <x v="3"/>
    <x v="37"/>
    <x v="899"/>
    <x v="9"/>
    <x v="0"/>
    <x v="912"/>
    <n v="125.99"/>
    <x v="362"/>
    <x v="129"/>
    <x v="1"/>
    <x v="1"/>
    <x v="1"/>
    <x v="0"/>
    <x v="7"/>
    <x v="613"/>
    <x v="0"/>
    <x v="618"/>
  </r>
  <r>
    <x v="638"/>
    <x v="526"/>
    <x v="1"/>
    <x v="23"/>
    <x v="900"/>
    <x v="5"/>
    <x v="0"/>
    <x v="913"/>
    <n v="8.4600000000000009"/>
    <x v="309"/>
    <x v="115"/>
    <x v="1"/>
    <x v="1"/>
    <x v="3"/>
    <x v="0"/>
    <x v="0"/>
    <x v="614"/>
    <x v="1"/>
    <x v="619"/>
  </r>
  <r>
    <x v="639"/>
    <x v="527"/>
    <x v="0"/>
    <x v="35"/>
    <x v="901"/>
    <x v="10"/>
    <x v="0"/>
    <x v="914"/>
    <n v="0.99"/>
    <x v="366"/>
    <x v="132"/>
    <x v="1"/>
    <x v="1"/>
    <x v="2"/>
    <x v="0"/>
    <x v="0"/>
    <x v="615"/>
    <x v="1"/>
    <x v="620"/>
  </r>
  <r>
    <x v="640"/>
    <x v="528"/>
    <x v="4"/>
    <x v="30"/>
    <x v="902"/>
    <x v="8"/>
    <x v="0"/>
    <x v="915"/>
    <n v="4.7699999999999996"/>
    <x v="367"/>
    <x v="123"/>
    <x v="1"/>
    <x v="1"/>
    <x v="1"/>
    <x v="0"/>
    <x v="0"/>
    <x v="616"/>
    <x v="1"/>
    <x v="621"/>
  </r>
  <r>
    <x v="640"/>
    <x v="528"/>
    <x v="4"/>
    <x v="33"/>
    <x v="903"/>
    <x v="6"/>
    <x v="0"/>
    <x v="916"/>
    <n v="2.21"/>
    <x v="368"/>
    <x v="123"/>
    <x v="1"/>
    <x v="1"/>
    <x v="1"/>
    <x v="1"/>
    <x v="1"/>
    <x v="617"/>
    <x v="3"/>
    <x v="621"/>
  </r>
  <r>
    <x v="641"/>
    <x v="529"/>
    <x v="2"/>
    <x v="6"/>
    <x v="904"/>
    <x v="2"/>
    <x v="2"/>
    <x v="917"/>
    <n v="6.48"/>
    <x v="369"/>
    <x v="66"/>
    <x v="1"/>
    <x v="1"/>
    <x v="0"/>
    <x v="1"/>
    <x v="5"/>
    <x v="618"/>
    <x v="0"/>
    <x v="622"/>
  </r>
  <r>
    <x v="642"/>
    <x v="57"/>
    <x v="1"/>
    <x v="17"/>
    <x v="905"/>
    <x v="1"/>
    <x v="0"/>
    <x v="918"/>
    <n v="4.91"/>
    <x v="324"/>
    <x v="126"/>
    <x v="1"/>
    <x v="1"/>
    <x v="0"/>
    <x v="1"/>
    <x v="3"/>
    <x v="577"/>
    <x v="0"/>
    <x v="623"/>
  </r>
  <r>
    <x v="643"/>
    <x v="530"/>
    <x v="1"/>
    <x v="19"/>
    <x v="906"/>
    <x v="7"/>
    <x v="0"/>
    <x v="919"/>
    <n v="499.99"/>
    <x v="37"/>
    <x v="129"/>
    <x v="1"/>
    <x v="1"/>
    <x v="1"/>
    <x v="0"/>
    <x v="12"/>
    <x v="250"/>
    <x v="5"/>
    <x v="624"/>
  </r>
  <r>
    <x v="644"/>
    <x v="531"/>
    <x v="3"/>
    <x v="1"/>
    <x v="907"/>
    <x v="10"/>
    <x v="0"/>
    <x v="920"/>
    <n v="4.71"/>
    <x v="16"/>
    <x v="131"/>
    <x v="1"/>
    <x v="1"/>
    <x v="3"/>
    <x v="1"/>
    <x v="11"/>
    <x v="39"/>
    <x v="3"/>
    <x v="213"/>
  </r>
  <r>
    <x v="645"/>
    <x v="532"/>
    <x v="2"/>
    <x v="11"/>
    <x v="908"/>
    <x v="6"/>
    <x v="0"/>
    <x v="921"/>
    <n v="2.89"/>
    <x v="14"/>
    <x v="66"/>
    <x v="1"/>
    <x v="1"/>
    <x v="0"/>
    <x v="1"/>
    <x v="8"/>
    <x v="336"/>
    <x v="0"/>
    <x v="625"/>
  </r>
  <r>
    <x v="645"/>
    <x v="532"/>
    <x v="2"/>
    <x v="35"/>
    <x v="909"/>
    <x v="2"/>
    <x v="0"/>
    <x v="922"/>
    <n v="55.99"/>
    <x v="64"/>
    <x v="66"/>
    <x v="1"/>
    <x v="1"/>
    <x v="0"/>
    <x v="0"/>
    <x v="7"/>
    <x v="578"/>
    <x v="1"/>
    <x v="626"/>
  </r>
  <r>
    <x v="646"/>
    <x v="533"/>
    <x v="1"/>
    <x v="25"/>
    <x v="910"/>
    <x v="8"/>
    <x v="0"/>
    <x v="923"/>
    <n v="18.649999999999999"/>
    <x v="220"/>
    <x v="129"/>
    <x v="1"/>
    <x v="1"/>
    <x v="1"/>
    <x v="2"/>
    <x v="9"/>
    <x v="345"/>
    <x v="1"/>
    <x v="375"/>
  </r>
  <r>
    <x v="647"/>
    <x v="434"/>
    <x v="4"/>
    <x v="49"/>
    <x v="911"/>
    <x v="2"/>
    <x v="0"/>
    <x v="924"/>
    <n v="2.88"/>
    <x v="6"/>
    <x v="129"/>
    <x v="1"/>
    <x v="1"/>
    <x v="1"/>
    <x v="1"/>
    <x v="3"/>
    <x v="142"/>
    <x v="0"/>
    <x v="627"/>
  </r>
  <r>
    <x v="648"/>
    <x v="534"/>
    <x v="0"/>
    <x v="21"/>
    <x v="912"/>
    <x v="9"/>
    <x v="0"/>
    <x v="925"/>
    <n v="131.12"/>
    <x v="22"/>
    <x v="123"/>
    <x v="1"/>
    <x v="1"/>
    <x v="3"/>
    <x v="1"/>
    <x v="13"/>
    <x v="619"/>
    <x v="0"/>
    <x v="11"/>
  </r>
  <r>
    <x v="648"/>
    <x v="534"/>
    <x v="0"/>
    <x v="7"/>
    <x v="913"/>
    <x v="3"/>
    <x v="0"/>
    <x v="926"/>
    <n v="6.48"/>
    <x v="370"/>
    <x v="123"/>
    <x v="1"/>
    <x v="1"/>
    <x v="3"/>
    <x v="1"/>
    <x v="5"/>
    <x v="620"/>
    <x v="0"/>
    <x v="628"/>
  </r>
  <r>
    <x v="649"/>
    <x v="535"/>
    <x v="1"/>
    <x v="23"/>
    <x v="914"/>
    <x v="3"/>
    <x v="0"/>
    <x v="927"/>
    <n v="81.319999999999993"/>
    <x v="22"/>
    <x v="130"/>
    <x v="1"/>
    <x v="1"/>
    <x v="1"/>
    <x v="1"/>
    <x v="13"/>
    <x v="162"/>
    <x v="0"/>
    <x v="629"/>
  </r>
  <r>
    <x v="649"/>
    <x v="535"/>
    <x v="1"/>
    <x v="31"/>
    <x v="915"/>
    <x v="7"/>
    <x v="0"/>
    <x v="928"/>
    <n v="3.71"/>
    <x v="330"/>
    <x v="130"/>
    <x v="1"/>
    <x v="1"/>
    <x v="1"/>
    <x v="1"/>
    <x v="5"/>
    <x v="536"/>
    <x v="3"/>
    <x v="364"/>
  </r>
  <r>
    <x v="649"/>
    <x v="535"/>
    <x v="1"/>
    <x v="16"/>
    <x v="916"/>
    <x v="7"/>
    <x v="0"/>
    <x v="929"/>
    <n v="6.48"/>
    <x v="369"/>
    <x v="130"/>
    <x v="1"/>
    <x v="1"/>
    <x v="1"/>
    <x v="1"/>
    <x v="5"/>
    <x v="618"/>
    <x v="0"/>
    <x v="629"/>
  </r>
  <r>
    <x v="649"/>
    <x v="535"/>
    <x v="1"/>
    <x v="34"/>
    <x v="917"/>
    <x v="6"/>
    <x v="0"/>
    <x v="930"/>
    <n v="18.97"/>
    <x v="222"/>
    <x v="130"/>
    <x v="1"/>
    <x v="1"/>
    <x v="1"/>
    <x v="1"/>
    <x v="5"/>
    <x v="347"/>
    <x v="0"/>
    <x v="566"/>
  </r>
  <r>
    <x v="649"/>
    <x v="535"/>
    <x v="1"/>
    <x v="8"/>
    <x v="918"/>
    <x v="3"/>
    <x v="0"/>
    <x v="931"/>
    <n v="31.98"/>
    <x v="371"/>
    <x v="130"/>
    <x v="1"/>
    <x v="1"/>
    <x v="1"/>
    <x v="1"/>
    <x v="6"/>
    <x v="621"/>
    <x v="0"/>
    <x v="629"/>
  </r>
  <r>
    <x v="650"/>
    <x v="536"/>
    <x v="3"/>
    <x v="30"/>
    <x v="919"/>
    <x v="8"/>
    <x v="0"/>
    <x v="932"/>
    <n v="8.01"/>
    <x v="31"/>
    <x v="120"/>
    <x v="1"/>
    <x v="1"/>
    <x v="0"/>
    <x v="1"/>
    <x v="5"/>
    <x v="45"/>
    <x v="3"/>
    <x v="630"/>
  </r>
  <r>
    <x v="651"/>
    <x v="537"/>
    <x v="2"/>
    <x v="37"/>
    <x v="920"/>
    <x v="2"/>
    <x v="1"/>
    <x v="933"/>
    <n v="306.14"/>
    <x v="267"/>
    <x v="115"/>
    <x v="1"/>
    <x v="1"/>
    <x v="3"/>
    <x v="0"/>
    <x v="15"/>
    <x v="416"/>
    <x v="6"/>
    <x v="631"/>
  </r>
  <r>
    <x v="652"/>
    <x v="487"/>
    <x v="1"/>
    <x v="43"/>
    <x v="921"/>
    <x v="9"/>
    <x v="1"/>
    <x v="934"/>
    <n v="48.58"/>
    <x v="372"/>
    <x v="134"/>
    <x v="2"/>
    <x v="1"/>
    <x v="0"/>
    <x v="2"/>
    <x v="10"/>
    <x v="622"/>
    <x v="2"/>
    <x v="632"/>
  </r>
  <r>
    <x v="652"/>
    <x v="487"/>
    <x v="1"/>
    <x v="43"/>
    <x v="922"/>
    <x v="0"/>
    <x v="0"/>
    <x v="935"/>
    <n v="39.479999999999997"/>
    <x v="10"/>
    <x v="134"/>
    <x v="2"/>
    <x v="1"/>
    <x v="0"/>
    <x v="0"/>
    <x v="0"/>
    <x v="69"/>
    <x v="1"/>
    <x v="633"/>
  </r>
  <r>
    <x v="653"/>
    <x v="538"/>
    <x v="1"/>
    <x v="0"/>
    <x v="923"/>
    <x v="4"/>
    <x v="0"/>
    <x v="936"/>
    <n v="4.71"/>
    <x v="16"/>
    <x v="135"/>
    <x v="2"/>
    <x v="1"/>
    <x v="0"/>
    <x v="1"/>
    <x v="11"/>
    <x v="39"/>
    <x v="3"/>
    <x v="266"/>
  </r>
  <r>
    <x v="654"/>
    <x v="539"/>
    <x v="0"/>
    <x v="18"/>
    <x v="924"/>
    <x v="1"/>
    <x v="1"/>
    <x v="937"/>
    <n v="95.95"/>
    <x v="57"/>
    <x v="136"/>
    <x v="2"/>
    <x v="1"/>
    <x v="1"/>
    <x v="2"/>
    <x v="14"/>
    <x v="76"/>
    <x v="6"/>
    <x v="634"/>
  </r>
  <r>
    <x v="655"/>
    <x v="493"/>
    <x v="3"/>
    <x v="17"/>
    <x v="925"/>
    <x v="0"/>
    <x v="0"/>
    <x v="938"/>
    <n v="5.98"/>
    <x v="47"/>
    <x v="137"/>
    <x v="2"/>
    <x v="1"/>
    <x v="2"/>
    <x v="1"/>
    <x v="1"/>
    <x v="623"/>
    <x v="3"/>
    <x v="635"/>
  </r>
  <r>
    <x v="655"/>
    <x v="493"/>
    <x v="3"/>
    <x v="4"/>
    <x v="926"/>
    <x v="6"/>
    <x v="0"/>
    <x v="939"/>
    <n v="39.979999999999997"/>
    <x v="13"/>
    <x v="137"/>
    <x v="2"/>
    <x v="1"/>
    <x v="2"/>
    <x v="0"/>
    <x v="0"/>
    <x v="564"/>
    <x v="0"/>
    <x v="636"/>
  </r>
  <r>
    <x v="656"/>
    <x v="429"/>
    <x v="1"/>
    <x v="23"/>
    <x v="927"/>
    <x v="10"/>
    <x v="0"/>
    <x v="940"/>
    <n v="420.98"/>
    <x v="0"/>
    <x v="136"/>
    <x v="2"/>
    <x v="1"/>
    <x v="1"/>
    <x v="1"/>
    <x v="3"/>
    <x v="435"/>
    <x v="0"/>
    <x v="512"/>
  </r>
  <r>
    <x v="657"/>
    <x v="12"/>
    <x v="4"/>
    <x v="3"/>
    <x v="928"/>
    <x v="0"/>
    <x v="0"/>
    <x v="941"/>
    <n v="5.34"/>
    <x v="82"/>
    <x v="55"/>
    <x v="2"/>
    <x v="1"/>
    <x v="0"/>
    <x v="1"/>
    <x v="3"/>
    <x v="624"/>
    <x v="0"/>
    <x v="103"/>
  </r>
  <r>
    <x v="657"/>
    <x v="12"/>
    <x v="4"/>
    <x v="46"/>
    <x v="929"/>
    <x v="10"/>
    <x v="1"/>
    <x v="942"/>
    <n v="160.97999999999999"/>
    <x v="147"/>
    <x v="55"/>
    <x v="2"/>
    <x v="1"/>
    <x v="0"/>
    <x v="2"/>
    <x v="14"/>
    <x v="384"/>
    <x v="6"/>
    <x v="637"/>
  </r>
  <r>
    <x v="657"/>
    <x v="12"/>
    <x v="4"/>
    <x v="14"/>
    <x v="930"/>
    <x v="5"/>
    <x v="2"/>
    <x v="943"/>
    <n v="65.989999999999995"/>
    <x v="82"/>
    <x v="55"/>
    <x v="2"/>
    <x v="1"/>
    <x v="0"/>
    <x v="0"/>
    <x v="7"/>
    <x v="218"/>
    <x v="0"/>
    <x v="397"/>
  </r>
  <r>
    <x v="658"/>
    <x v="402"/>
    <x v="4"/>
    <x v="32"/>
    <x v="931"/>
    <x v="6"/>
    <x v="0"/>
    <x v="944"/>
    <n v="65.989999999999995"/>
    <x v="193"/>
    <x v="138"/>
    <x v="2"/>
    <x v="1"/>
    <x v="3"/>
    <x v="0"/>
    <x v="7"/>
    <x v="338"/>
    <x v="0"/>
    <x v="485"/>
  </r>
  <r>
    <x v="659"/>
    <x v="423"/>
    <x v="1"/>
    <x v="39"/>
    <x v="932"/>
    <x v="6"/>
    <x v="0"/>
    <x v="945"/>
    <n v="11.33"/>
    <x v="373"/>
    <x v="134"/>
    <x v="2"/>
    <x v="1"/>
    <x v="0"/>
    <x v="1"/>
    <x v="13"/>
    <x v="625"/>
    <x v="4"/>
    <x v="443"/>
  </r>
  <r>
    <x v="659"/>
    <x v="423"/>
    <x v="1"/>
    <x v="35"/>
    <x v="933"/>
    <x v="8"/>
    <x v="2"/>
    <x v="946"/>
    <n v="3.36"/>
    <x v="9"/>
    <x v="134"/>
    <x v="2"/>
    <x v="1"/>
    <x v="0"/>
    <x v="1"/>
    <x v="3"/>
    <x v="9"/>
    <x v="0"/>
    <x v="52"/>
  </r>
  <r>
    <x v="659"/>
    <x v="423"/>
    <x v="1"/>
    <x v="40"/>
    <x v="934"/>
    <x v="4"/>
    <x v="1"/>
    <x v="947"/>
    <n v="122.99"/>
    <x v="374"/>
    <x v="134"/>
    <x v="2"/>
    <x v="1"/>
    <x v="0"/>
    <x v="2"/>
    <x v="14"/>
    <x v="626"/>
    <x v="6"/>
    <x v="443"/>
  </r>
  <r>
    <x v="659"/>
    <x v="423"/>
    <x v="1"/>
    <x v="6"/>
    <x v="935"/>
    <x v="9"/>
    <x v="2"/>
    <x v="948"/>
    <n v="14.98"/>
    <x v="1"/>
    <x v="134"/>
    <x v="2"/>
    <x v="1"/>
    <x v="0"/>
    <x v="2"/>
    <x v="9"/>
    <x v="627"/>
    <x v="1"/>
    <x v="52"/>
  </r>
  <r>
    <x v="660"/>
    <x v="522"/>
    <x v="1"/>
    <x v="15"/>
    <x v="936"/>
    <x v="7"/>
    <x v="0"/>
    <x v="949"/>
    <n v="4.13"/>
    <x v="289"/>
    <x v="139"/>
    <x v="2"/>
    <x v="1"/>
    <x v="1"/>
    <x v="1"/>
    <x v="8"/>
    <x v="628"/>
    <x v="0"/>
    <x v="22"/>
  </r>
  <r>
    <x v="661"/>
    <x v="540"/>
    <x v="4"/>
    <x v="48"/>
    <x v="937"/>
    <x v="7"/>
    <x v="0"/>
    <x v="950"/>
    <n v="19.98"/>
    <x v="184"/>
    <x v="140"/>
    <x v="2"/>
    <x v="1"/>
    <x v="2"/>
    <x v="1"/>
    <x v="5"/>
    <x v="261"/>
    <x v="0"/>
    <x v="638"/>
  </r>
  <r>
    <x v="662"/>
    <x v="541"/>
    <x v="0"/>
    <x v="3"/>
    <x v="938"/>
    <x v="9"/>
    <x v="0"/>
    <x v="951"/>
    <n v="31.74"/>
    <x v="241"/>
    <x v="141"/>
    <x v="2"/>
    <x v="1"/>
    <x v="0"/>
    <x v="1"/>
    <x v="3"/>
    <x v="370"/>
    <x v="0"/>
    <x v="639"/>
  </r>
  <r>
    <x v="663"/>
    <x v="272"/>
    <x v="1"/>
    <x v="32"/>
    <x v="939"/>
    <x v="10"/>
    <x v="0"/>
    <x v="952"/>
    <n v="65.989999999999995"/>
    <x v="363"/>
    <x v="139"/>
    <x v="2"/>
    <x v="1"/>
    <x v="1"/>
    <x v="0"/>
    <x v="7"/>
    <x v="609"/>
    <x v="0"/>
    <x v="640"/>
  </r>
  <r>
    <x v="664"/>
    <x v="224"/>
    <x v="4"/>
    <x v="41"/>
    <x v="940"/>
    <x v="4"/>
    <x v="0"/>
    <x v="953"/>
    <n v="140.99"/>
    <x v="233"/>
    <x v="136"/>
    <x v="2"/>
    <x v="1"/>
    <x v="1"/>
    <x v="0"/>
    <x v="7"/>
    <x v="629"/>
    <x v="0"/>
    <x v="641"/>
  </r>
  <r>
    <x v="665"/>
    <x v="542"/>
    <x v="1"/>
    <x v="41"/>
    <x v="941"/>
    <x v="3"/>
    <x v="1"/>
    <x v="954"/>
    <n v="145.44999999999999"/>
    <x v="100"/>
    <x v="136"/>
    <x v="2"/>
    <x v="1"/>
    <x v="1"/>
    <x v="0"/>
    <x v="15"/>
    <x v="145"/>
    <x v="6"/>
    <x v="642"/>
  </r>
  <r>
    <x v="666"/>
    <x v="543"/>
    <x v="0"/>
    <x v="6"/>
    <x v="942"/>
    <x v="9"/>
    <x v="0"/>
    <x v="955"/>
    <n v="18.940000000000001"/>
    <x v="6"/>
    <x v="138"/>
    <x v="2"/>
    <x v="1"/>
    <x v="3"/>
    <x v="1"/>
    <x v="3"/>
    <x v="607"/>
    <x v="0"/>
    <x v="643"/>
  </r>
  <r>
    <x v="666"/>
    <x v="543"/>
    <x v="0"/>
    <x v="28"/>
    <x v="943"/>
    <x v="4"/>
    <x v="0"/>
    <x v="956"/>
    <n v="122.99"/>
    <x v="0"/>
    <x v="138"/>
    <x v="2"/>
    <x v="1"/>
    <x v="3"/>
    <x v="1"/>
    <x v="3"/>
    <x v="630"/>
    <x v="0"/>
    <x v="244"/>
  </r>
  <r>
    <x v="666"/>
    <x v="543"/>
    <x v="0"/>
    <x v="7"/>
    <x v="944"/>
    <x v="2"/>
    <x v="2"/>
    <x v="452"/>
    <n v="1.1399999999999999"/>
    <x v="16"/>
    <x v="138"/>
    <x v="2"/>
    <x v="1"/>
    <x v="3"/>
    <x v="1"/>
    <x v="11"/>
    <x v="177"/>
    <x v="3"/>
    <x v="244"/>
  </r>
  <r>
    <x v="95"/>
    <x v="95"/>
    <x v="1"/>
    <x v="12"/>
    <x v="945"/>
    <x v="0"/>
    <x v="0"/>
    <x v="957"/>
    <n v="7.64"/>
    <x v="126"/>
    <x v="55"/>
    <x v="2"/>
    <x v="1"/>
    <x v="0"/>
    <x v="1"/>
    <x v="4"/>
    <x v="428"/>
    <x v="0"/>
    <x v="54"/>
  </r>
  <r>
    <x v="667"/>
    <x v="544"/>
    <x v="3"/>
    <x v="12"/>
    <x v="946"/>
    <x v="6"/>
    <x v="0"/>
    <x v="958"/>
    <n v="35.99"/>
    <x v="137"/>
    <x v="139"/>
    <x v="2"/>
    <x v="1"/>
    <x v="1"/>
    <x v="0"/>
    <x v="7"/>
    <x v="247"/>
    <x v="3"/>
    <x v="644"/>
  </r>
  <r>
    <x v="668"/>
    <x v="545"/>
    <x v="4"/>
    <x v="10"/>
    <x v="947"/>
    <x v="9"/>
    <x v="0"/>
    <x v="959"/>
    <n v="5.78"/>
    <x v="242"/>
    <x v="136"/>
    <x v="2"/>
    <x v="1"/>
    <x v="1"/>
    <x v="1"/>
    <x v="5"/>
    <x v="631"/>
    <x v="0"/>
    <x v="645"/>
  </r>
  <r>
    <x v="669"/>
    <x v="546"/>
    <x v="0"/>
    <x v="36"/>
    <x v="948"/>
    <x v="4"/>
    <x v="0"/>
    <x v="960"/>
    <n v="35.44"/>
    <x v="101"/>
    <x v="137"/>
    <x v="2"/>
    <x v="1"/>
    <x v="2"/>
    <x v="1"/>
    <x v="5"/>
    <x v="632"/>
    <x v="0"/>
    <x v="646"/>
  </r>
  <r>
    <x v="670"/>
    <x v="253"/>
    <x v="4"/>
    <x v="4"/>
    <x v="949"/>
    <x v="3"/>
    <x v="0"/>
    <x v="961"/>
    <n v="4.82"/>
    <x v="6"/>
    <x v="139"/>
    <x v="2"/>
    <x v="1"/>
    <x v="1"/>
    <x v="1"/>
    <x v="3"/>
    <x v="633"/>
    <x v="0"/>
    <x v="647"/>
  </r>
  <r>
    <x v="671"/>
    <x v="547"/>
    <x v="3"/>
    <x v="4"/>
    <x v="950"/>
    <x v="0"/>
    <x v="0"/>
    <x v="962"/>
    <n v="7.04"/>
    <x v="375"/>
    <x v="142"/>
    <x v="2"/>
    <x v="1"/>
    <x v="2"/>
    <x v="1"/>
    <x v="5"/>
    <x v="634"/>
    <x v="3"/>
    <x v="2"/>
  </r>
  <r>
    <x v="672"/>
    <x v="548"/>
    <x v="0"/>
    <x v="43"/>
    <x v="951"/>
    <x v="8"/>
    <x v="0"/>
    <x v="963"/>
    <n v="8.32"/>
    <x v="258"/>
    <x v="139"/>
    <x v="2"/>
    <x v="1"/>
    <x v="1"/>
    <x v="0"/>
    <x v="0"/>
    <x v="402"/>
    <x v="1"/>
    <x v="648"/>
  </r>
  <r>
    <x v="673"/>
    <x v="9"/>
    <x v="1"/>
    <x v="4"/>
    <x v="952"/>
    <x v="7"/>
    <x v="0"/>
    <x v="964"/>
    <n v="300.97000000000003"/>
    <x v="376"/>
    <x v="141"/>
    <x v="2"/>
    <x v="1"/>
    <x v="0"/>
    <x v="0"/>
    <x v="0"/>
    <x v="635"/>
    <x v="0"/>
    <x v="11"/>
  </r>
  <r>
    <x v="673"/>
    <x v="9"/>
    <x v="1"/>
    <x v="45"/>
    <x v="953"/>
    <x v="3"/>
    <x v="1"/>
    <x v="965"/>
    <n v="70.89"/>
    <x v="281"/>
    <x v="141"/>
    <x v="2"/>
    <x v="1"/>
    <x v="0"/>
    <x v="2"/>
    <x v="2"/>
    <x v="443"/>
    <x v="2"/>
    <x v="649"/>
  </r>
  <r>
    <x v="674"/>
    <x v="25"/>
    <x v="2"/>
    <x v="27"/>
    <x v="954"/>
    <x v="6"/>
    <x v="1"/>
    <x v="966"/>
    <n v="89.99"/>
    <x v="69"/>
    <x v="141"/>
    <x v="2"/>
    <x v="1"/>
    <x v="0"/>
    <x v="2"/>
    <x v="14"/>
    <x v="93"/>
    <x v="6"/>
    <x v="650"/>
  </r>
  <r>
    <x v="674"/>
    <x v="25"/>
    <x v="2"/>
    <x v="10"/>
    <x v="955"/>
    <x v="4"/>
    <x v="0"/>
    <x v="967"/>
    <n v="65.989999999999995"/>
    <x v="193"/>
    <x v="141"/>
    <x v="2"/>
    <x v="1"/>
    <x v="0"/>
    <x v="0"/>
    <x v="7"/>
    <x v="636"/>
    <x v="0"/>
    <x v="436"/>
  </r>
  <r>
    <x v="675"/>
    <x v="549"/>
    <x v="1"/>
    <x v="12"/>
    <x v="956"/>
    <x v="2"/>
    <x v="2"/>
    <x v="968"/>
    <n v="5.28"/>
    <x v="377"/>
    <x v="140"/>
    <x v="2"/>
    <x v="1"/>
    <x v="2"/>
    <x v="1"/>
    <x v="5"/>
    <x v="637"/>
    <x v="0"/>
    <x v="651"/>
  </r>
  <r>
    <x v="676"/>
    <x v="550"/>
    <x v="0"/>
    <x v="48"/>
    <x v="957"/>
    <x v="3"/>
    <x v="2"/>
    <x v="969"/>
    <n v="14.27"/>
    <x v="378"/>
    <x v="140"/>
    <x v="2"/>
    <x v="1"/>
    <x v="2"/>
    <x v="1"/>
    <x v="3"/>
    <x v="638"/>
    <x v="0"/>
    <x v="652"/>
  </r>
  <r>
    <x v="676"/>
    <x v="550"/>
    <x v="0"/>
    <x v="30"/>
    <x v="958"/>
    <x v="7"/>
    <x v="0"/>
    <x v="970"/>
    <n v="6783.02"/>
    <x v="37"/>
    <x v="140"/>
    <x v="2"/>
    <x v="1"/>
    <x v="2"/>
    <x v="0"/>
    <x v="15"/>
    <x v="639"/>
    <x v="5"/>
    <x v="569"/>
  </r>
  <r>
    <x v="676"/>
    <x v="550"/>
    <x v="0"/>
    <x v="26"/>
    <x v="959"/>
    <x v="2"/>
    <x v="0"/>
    <x v="971"/>
    <n v="8.14"/>
    <x v="379"/>
    <x v="140"/>
    <x v="2"/>
    <x v="1"/>
    <x v="2"/>
    <x v="1"/>
    <x v="1"/>
    <x v="640"/>
    <x v="3"/>
    <x v="653"/>
  </r>
  <r>
    <x v="677"/>
    <x v="551"/>
    <x v="4"/>
    <x v="3"/>
    <x v="960"/>
    <x v="7"/>
    <x v="2"/>
    <x v="972"/>
    <n v="1.26"/>
    <x v="16"/>
    <x v="134"/>
    <x v="2"/>
    <x v="1"/>
    <x v="0"/>
    <x v="1"/>
    <x v="11"/>
    <x v="265"/>
    <x v="3"/>
    <x v="600"/>
  </r>
  <r>
    <x v="678"/>
    <x v="552"/>
    <x v="0"/>
    <x v="20"/>
    <x v="961"/>
    <x v="7"/>
    <x v="2"/>
    <x v="973"/>
    <n v="218.08"/>
    <x v="249"/>
    <x v="137"/>
    <x v="2"/>
    <x v="1"/>
    <x v="2"/>
    <x v="2"/>
    <x v="14"/>
    <x v="388"/>
    <x v="5"/>
    <x v="543"/>
  </r>
  <r>
    <x v="679"/>
    <x v="198"/>
    <x v="1"/>
    <x v="12"/>
    <x v="962"/>
    <x v="10"/>
    <x v="1"/>
    <x v="974"/>
    <n v="145.44999999999999"/>
    <x v="100"/>
    <x v="139"/>
    <x v="2"/>
    <x v="1"/>
    <x v="1"/>
    <x v="0"/>
    <x v="15"/>
    <x v="145"/>
    <x v="6"/>
    <x v="654"/>
  </r>
  <r>
    <x v="680"/>
    <x v="401"/>
    <x v="0"/>
    <x v="24"/>
    <x v="963"/>
    <x v="3"/>
    <x v="2"/>
    <x v="975"/>
    <n v="11.97"/>
    <x v="329"/>
    <x v="135"/>
    <x v="2"/>
    <x v="1"/>
    <x v="0"/>
    <x v="1"/>
    <x v="13"/>
    <x v="641"/>
    <x v="0"/>
    <x v="484"/>
  </r>
  <r>
    <x v="681"/>
    <x v="553"/>
    <x v="2"/>
    <x v="27"/>
    <x v="964"/>
    <x v="7"/>
    <x v="0"/>
    <x v="976"/>
    <n v="33.29"/>
    <x v="65"/>
    <x v="136"/>
    <x v="2"/>
    <x v="1"/>
    <x v="1"/>
    <x v="1"/>
    <x v="6"/>
    <x v="642"/>
    <x v="0"/>
    <x v="655"/>
  </r>
  <r>
    <x v="682"/>
    <x v="82"/>
    <x v="2"/>
    <x v="1"/>
    <x v="965"/>
    <x v="3"/>
    <x v="0"/>
    <x v="977"/>
    <n v="8.3699999999999992"/>
    <x v="380"/>
    <x v="139"/>
    <x v="2"/>
    <x v="1"/>
    <x v="1"/>
    <x v="2"/>
    <x v="9"/>
    <x v="643"/>
    <x v="5"/>
    <x v="656"/>
  </r>
  <r>
    <x v="683"/>
    <x v="554"/>
    <x v="3"/>
    <x v="19"/>
    <x v="966"/>
    <x v="2"/>
    <x v="1"/>
    <x v="978"/>
    <n v="58.14"/>
    <x v="92"/>
    <x v="143"/>
    <x v="2"/>
    <x v="1"/>
    <x v="1"/>
    <x v="2"/>
    <x v="10"/>
    <x v="132"/>
    <x v="2"/>
    <x v="657"/>
  </r>
  <r>
    <x v="683"/>
    <x v="554"/>
    <x v="3"/>
    <x v="25"/>
    <x v="967"/>
    <x v="3"/>
    <x v="1"/>
    <x v="979"/>
    <n v="449.99"/>
    <x v="172"/>
    <x v="143"/>
    <x v="2"/>
    <x v="1"/>
    <x v="1"/>
    <x v="0"/>
    <x v="12"/>
    <x v="102"/>
    <x v="6"/>
    <x v="658"/>
  </r>
  <r>
    <x v="684"/>
    <x v="555"/>
    <x v="0"/>
    <x v="13"/>
    <x v="968"/>
    <x v="6"/>
    <x v="0"/>
    <x v="980"/>
    <n v="14.27"/>
    <x v="378"/>
    <x v="144"/>
    <x v="2"/>
    <x v="1"/>
    <x v="0"/>
    <x v="1"/>
    <x v="3"/>
    <x v="638"/>
    <x v="0"/>
    <x v="60"/>
  </r>
  <r>
    <x v="685"/>
    <x v="407"/>
    <x v="3"/>
    <x v="46"/>
    <x v="969"/>
    <x v="1"/>
    <x v="0"/>
    <x v="981"/>
    <n v="31.74"/>
    <x v="241"/>
    <x v="136"/>
    <x v="2"/>
    <x v="1"/>
    <x v="1"/>
    <x v="1"/>
    <x v="3"/>
    <x v="370"/>
    <x v="0"/>
    <x v="221"/>
  </r>
  <r>
    <x v="686"/>
    <x v="556"/>
    <x v="0"/>
    <x v="1"/>
    <x v="970"/>
    <x v="7"/>
    <x v="0"/>
    <x v="982"/>
    <n v="73.98"/>
    <x v="32"/>
    <x v="143"/>
    <x v="2"/>
    <x v="1"/>
    <x v="1"/>
    <x v="0"/>
    <x v="0"/>
    <x v="46"/>
    <x v="0"/>
    <x v="154"/>
  </r>
  <r>
    <x v="686"/>
    <x v="556"/>
    <x v="0"/>
    <x v="2"/>
    <x v="971"/>
    <x v="9"/>
    <x v="0"/>
    <x v="983"/>
    <n v="85.99"/>
    <x v="22"/>
    <x v="143"/>
    <x v="2"/>
    <x v="1"/>
    <x v="1"/>
    <x v="0"/>
    <x v="7"/>
    <x v="644"/>
    <x v="3"/>
    <x v="659"/>
  </r>
  <r>
    <x v="687"/>
    <x v="557"/>
    <x v="2"/>
    <x v="34"/>
    <x v="972"/>
    <x v="2"/>
    <x v="0"/>
    <x v="984"/>
    <n v="22.98"/>
    <x v="381"/>
    <x v="145"/>
    <x v="2"/>
    <x v="1"/>
    <x v="0"/>
    <x v="2"/>
    <x v="9"/>
    <x v="645"/>
    <x v="0"/>
    <x v="660"/>
  </r>
  <r>
    <x v="688"/>
    <x v="558"/>
    <x v="3"/>
    <x v="44"/>
    <x v="973"/>
    <x v="7"/>
    <x v="0"/>
    <x v="985"/>
    <n v="2.88"/>
    <x v="14"/>
    <x v="144"/>
    <x v="2"/>
    <x v="1"/>
    <x v="0"/>
    <x v="1"/>
    <x v="8"/>
    <x v="646"/>
    <x v="0"/>
    <x v="661"/>
  </r>
  <r>
    <x v="688"/>
    <x v="558"/>
    <x v="3"/>
    <x v="13"/>
    <x v="974"/>
    <x v="1"/>
    <x v="0"/>
    <x v="986"/>
    <n v="12.44"/>
    <x v="9"/>
    <x v="144"/>
    <x v="2"/>
    <x v="1"/>
    <x v="0"/>
    <x v="1"/>
    <x v="6"/>
    <x v="394"/>
    <x v="4"/>
    <x v="631"/>
  </r>
  <r>
    <x v="689"/>
    <x v="16"/>
    <x v="3"/>
    <x v="15"/>
    <x v="975"/>
    <x v="9"/>
    <x v="0"/>
    <x v="987"/>
    <n v="27.48"/>
    <x v="13"/>
    <x v="140"/>
    <x v="2"/>
    <x v="1"/>
    <x v="2"/>
    <x v="0"/>
    <x v="0"/>
    <x v="243"/>
    <x v="0"/>
    <x v="662"/>
  </r>
  <r>
    <x v="689"/>
    <x v="16"/>
    <x v="3"/>
    <x v="8"/>
    <x v="976"/>
    <x v="1"/>
    <x v="0"/>
    <x v="988"/>
    <n v="10.06"/>
    <x v="382"/>
    <x v="140"/>
    <x v="2"/>
    <x v="1"/>
    <x v="2"/>
    <x v="1"/>
    <x v="5"/>
    <x v="647"/>
    <x v="3"/>
    <x v="663"/>
  </r>
  <r>
    <x v="690"/>
    <x v="559"/>
    <x v="2"/>
    <x v="47"/>
    <x v="977"/>
    <x v="0"/>
    <x v="0"/>
    <x v="989"/>
    <n v="15.01"/>
    <x v="383"/>
    <x v="146"/>
    <x v="2"/>
    <x v="1"/>
    <x v="3"/>
    <x v="1"/>
    <x v="3"/>
    <x v="648"/>
    <x v="0"/>
    <x v="593"/>
  </r>
  <r>
    <x v="690"/>
    <x v="559"/>
    <x v="2"/>
    <x v="36"/>
    <x v="978"/>
    <x v="7"/>
    <x v="0"/>
    <x v="990"/>
    <n v="8.56"/>
    <x v="40"/>
    <x v="146"/>
    <x v="2"/>
    <x v="1"/>
    <x v="3"/>
    <x v="1"/>
    <x v="5"/>
    <x v="483"/>
    <x v="3"/>
    <x v="593"/>
  </r>
  <r>
    <x v="691"/>
    <x v="296"/>
    <x v="1"/>
    <x v="12"/>
    <x v="979"/>
    <x v="4"/>
    <x v="0"/>
    <x v="991"/>
    <n v="3.28"/>
    <x v="181"/>
    <x v="147"/>
    <x v="2"/>
    <x v="1"/>
    <x v="0"/>
    <x v="1"/>
    <x v="1"/>
    <x v="257"/>
    <x v="3"/>
    <x v="118"/>
  </r>
  <r>
    <x v="691"/>
    <x v="296"/>
    <x v="1"/>
    <x v="11"/>
    <x v="980"/>
    <x v="10"/>
    <x v="0"/>
    <x v="992"/>
    <n v="6.98"/>
    <x v="163"/>
    <x v="147"/>
    <x v="2"/>
    <x v="1"/>
    <x v="0"/>
    <x v="1"/>
    <x v="6"/>
    <x v="228"/>
    <x v="0"/>
    <x v="361"/>
  </r>
  <r>
    <x v="692"/>
    <x v="262"/>
    <x v="2"/>
    <x v="12"/>
    <x v="981"/>
    <x v="1"/>
    <x v="0"/>
    <x v="993"/>
    <n v="23.99"/>
    <x v="384"/>
    <x v="136"/>
    <x v="2"/>
    <x v="1"/>
    <x v="1"/>
    <x v="1"/>
    <x v="4"/>
    <x v="649"/>
    <x v="0"/>
    <x v="318"/>
  </r>
  <r>
    <x v="693"/>
    <x v="560"/>
    <x v="0"/>
    <x v="6"/>
    <x v="982"/>
    <x v="3"/>
    <x v="1"/>
    <x v="994"/>
    <n v="240.98"/>
    <x v="345"/>
    <x v="147"/>
    <x v="2"/>
    <x v="1"/>
    <x v="0"/>
    <x v="2"/>
    <x v="10"/>
    <x v="567"/>
    <x v="2"/>
    <x v="664"/>
  </r>
  <r>
    <x v="693"/>
    <x v="560"/>
    <x v="0"/>
    <x v="31"/>
    <x v="983"/>
    <x v="9"/>
    <x v="0"/>
    <x v="995"/>
    <n v="125.99"/>
    <x v="90"/>
    <x v="147"/>
    <x v="2"/>
    <x v="1"/>
    <x v="0"/>
    <x v="0"/>
    <x v="7"/>
    <x v="650"/>
    <x v="0"/>
    <x v="664"/>
  </r>
  <r>
    <x v="694"/>
    <x v="561"/>
    <x v="0"/>
    <x v="23"/>
    <x v="984"/>
    <x v="4"/>
    <x v="0"/>
    <x v="996"/>
    <n v="83.98"/>
    <x v="94"/>
    <x v="143"/>
    <x v="2"/>
    <x v="1"/>
    <x v="1"/>
    <x v="1"/>
    <x v="4"/>
    <x v="651"/>
    <x v="0"/>
    <x v="302"/>
  </r>
  <r>
    <x v="695"/>
    <x v="540"/>
    <x v="0"/>
    <x v="12"/>
    <x v="985"/>
    <x v="2"/>
    <x v="0"/>
    <x v="997"/>
    <n v="2.61"/>
    <x v="14"/>
    <x v="137"/>
    <x v="2"/>
    <x v="1"/>
    <x v="2"/>
    <x v="1"/>
    <x v="8"/>
    <x v="78"/>
    <x v="0"/>
    <x v="665"/>
  </r>
  <r>
    <x v="696"/>
    <x v="562"/>
    <x v="2"/>
    <x v="36"/>
    <x v="986"/>
    <x v="4"/>
    <x v="2"/>
    <x v="998"/>
    <n v="122.99"/>
    <x v="0"/>
    <x v="144"/>
    <x v="2"/>
    <x v="1"/>
    <x v="0"/>
    <x v="1"/>
    <x v="3"/>
    <x v="630"/>
    <x v="0"/>
    <x v="560"/>
  </r>
  <r>
    <x v="697"/>
    <x v="563"/>
    <x v="3"/>
    <x v="2"/>
    <x v="987"/>
    <x v="9"/>
    <x v="0"/>
    <x v="999"/>
    <n v="1.1399999999999999"/>
    <x v="16"/>
    <x v="145"/>
    <x v="2"/>
    <x v="1"/>
    <x v="0"/>
    <x v="1"/>
    <x v="11"/>
    <x v="177"/>
    <x v="3"/>
    <x v="666"/>
  </r>
  <r>
    <x v="698"/>
    <x v="480"/>
    <x v="2"/>
    <x v="27"/>
    <x v="988"/>
    <x v="10"/>
    <x v="0"/>
    <x v="1000"/>
    <n v="55.98"/>
    <x v="44"/>
    <x v="146"/>
    <x v="2"/>
    <x v="1"/>
    <x v="3"/>
    <x v="1"/>
    <x v="5"/>
    <x v="652"/>
    <x v="0"/>
    <x v="546"/>
  </r>
  <r>
    <x v="699"/>
    <x v="564"/>
    <x v="1"/>
    <x v="39"/>
    <x v="989"/>
    <x v="8"/>
    <x v="0"/>
    <x v="1001"/>
    <n v="2.21"/>
    <x v="368"/>
    <x v="144"/>
    <x v="2"/>
    <x v="1"/>
    <x v="0"/>
    <x v="1"/>
    <x v="1"/>
    <x v="617"/>
    <x v="3"/>
    <x v="667"/>
  </r>
  <r>
    <x v="700"/>
    <x v="412"/>
    <x v="0"/>
    <x v="13"/>
    <x v="990"/>
    <x v="4"/>
    <x v="1"/>
    <x v="1002"/>
    <n v="320.64"/>
    <x v="53"/>
    <x v="144"/>
    <x v="2"/>
    <x v="1"/>
    <x v="0"/>
    <x v="2"/>
    <x v="2"/>
    <x v="71"/>
    <x v="2"/>
    <x v="668"/>
  </r>
  <r>
    <x v="701"/>
    <x v="227"/>
    <x v="2"/>
    <x v="2"/>
    <x v="991"/>
    <x v="10"/>
    <x v="0"/>
    <x v="1003"/>
    <n v="140.81"/>
    <x v="37"/>
    <x v="142"/>
    <x v="2"/>
    <x v="1"/>
    <x v="2"/>
    <x v="2"/>
    <x v="14"/>
    <x v="653"/>
    <x v="5"/>
    <x v="669"/>
  </r>
  <r>
    <x v="701"/>
    <x v="227"/>
    <x v="2"/>
    <x v="16"/>
    <x v="992"/>
    <x v="5"/>
    <x v="0"/>
    <x v="1004"/>
    <n v="6.48"/>
    <x v="191"/>
    <x v="142"/>
    <x v="2"/>
    <x v="1"/>
    <x v="2"/>
    <x v="1"/>
    <x v="5"/>
    <x v="654"/>
    <x v="0"/>
    <x v="669"/>
  </r>
  <r>
    <x v="701"/>
    <x v="227"/>
    <x v="2"/>
    <x v="43"/>
    <x v="993"/>
    <x v="4"/>
    <x v="0"/>
    <x v="1005"/>
    <n v="2.08"/>
    <x v="385"/>
    <x v="142"/>
    <x v="2"/>
    <x v="1"/>
    <x v="2"/>
    <x v="1"/>
    <x v="16"/>
    <x v="655"/>
    <x v="1"/>
    <x v="236"/>
  </r>
  <r>
    <x v="702"/>
    <x v="565"/>
    <x v="1"/>
    <x v="3"/>
    <x v="994"/>
    <x v="4"/>
    <x v="0"/>
    <x v="1006"/>
    <n v="155.99"/>
    <x v="301"/>
    <x v="137"/>
    <x v="2"/>
    <x v="1"/>
    <x v="2"/>
    <x v="0"/>
    <x v="7"/>
    <x v="479"/>
    <x v="0"/>
    <x v="346"/>
  </r>
  <r>
    <x v="703"/>
    <x v="566"/>
    <x v="4"/>
    <x v="6"/>
    <x v="995"/>
    <x v="1"/>
    <x v="0"/>
    <x v="1007"/>
    <n v="5.28"/>
    <x v="168"/>
    <x v="138"/>
    <x v="2"/>
    <x v="1"/>
    <x v="3"/>
    <x v="1"/>
    <x v="3"/>
    <x v="421"/>
    <x v="0"/>
    <x v="670"/>
  </r>
  <r>
    <x v="704"/>
    <x v="68"/>
    <x v="4"/>
    <x v="6"/>
    <x v="996"/>
    <x v="7"/>
    <x v="0"/>
    <x v="1008"/>
    <n v="19.989999999999998"/>
    <x v="386"/>
    <x v="141"/>
    <x v="2"/>
    <x v="1"/>
    <x v="0"/>
    <x v="2"/>
    <x v="9"/>
    <x v="656"/>
    <x v="5"/>
    <x v="564"/>
  </r>
  <r>
    <x v="704"/>
    <x v="68"/>
    <x v="4"/>
    <x v="16"/>
    <x v="997"/>
    <x v="2"/>
    <x v="1"/>
    <x v="1009"/>
    <n v="264.98"/>
    <x v="387"/>
    <x v="141"/>
    <x v="2"/>
    <x v="1"/>
    <x v="0"/>
    <x v="0"/>
    <x v="15"/>
    <x v="657"/>
    <x v="6"/>
    <x v="671"/>
  </r>
  <r>
    <x v="704"/>
    <x v="68"/>
    <x v="4"/>
    <x v="4"/>
    <x v="998"/>
    <x v="7"/>
    <x v="1"/>
    <x v="1010"/>
    <n v="320.98"/>
    <x v="282"/>
    <x v="141"/>
    <x v="2"/>
    <x v="1"/>
    <x v="0"/>
    <x v="2"/>
    <x v="14"/>
    <x v="445"/>
    <x v="6"/>
    <x v="84"/>
  </r>
  <r>
    <x v="705"/>
    <x v="3"/>
    <x v="4"/>
    <x v="5"/>
    <x v="999"/>
    <x v="9"/>
    <x v="0"/>
    <x v="1011"/>
    <n v="99.99"/>
    <x v="0"/>
    <x v="144"/>
    <x v="2"/>
    <x v="1"/>
    <x v="0"/>
    <x v="0"/>
    <x v="0"/>
    <x v="0"/>
    <x v="0"/>
    <x v="672"/>
  </r>
  <r>
    <x v="706"/>
    <x v="567"/>
    <x v="2"/>
    <x v="16"/>
    <x v="1000"/>
    <x v="3"/>
    <x v="0"/>
    <x v="1012"/>
    <n v="5.78"/>
    <x v="7"/>
    <x v="20"/>
    <x v="2"/>
    <x v="1"/>
    <x v="1"/>
    <x v="1"/>
    <x v="5"/>
    <x v="7"/>
    <x v="0"/>
    <x v="673"/>
  </r>
  <r>
    <x v="707"/>
    <x v="568"/>
    <x v="1"/>
    <x v="5"/>
    <x v="1001"/>
    <x v="2"/>
    <x v="0"/>
    <x v="1013"/>
    <n v="11.66"/>
    <x v="1"/>
    <x v="140"/>
    <x v="2"/>
    <x v="1"/>
    <x v="2"/>
    <x v="1"/>
    <x v="1"/>
    <x v="82"/>
    <x v="1"/>
    <x v="674"/>
  </r>
  <r>
    <x v="708"/>
    <x v="143"/>
    <x v="0"/>
    <x v="21"/>
    <x v="1002"/>
    <x v="6"/>
    <x v="1"/>
    <x v="1014"/>
    <n v="81.94"/>
    <x v="388"/>
    <x v="144"/>
    <x v="2"/>
    <x v="1"/>
    <x v="0"/>
    <x v="2"/>
    <x v="10"/>
    <x v="658"/>
    <x v="2"/>
    <x v="172"/>
  </r>
  <r>
    <x v="709"/>
    <x v="475"/>
    <x v="0"/>
    <x v="47"/>
    <x v="1003"/>
    <x v="0"/>
    <x v="0"/>
    <x v="1015"/>
    <n v="21.66"/>
    <x v="24"/>
    <x v="139"/>
    <x v="2"/>
    <x v="1"/>
    <x v="1"/>
    <x v="1"/>
    <x v="13"/>
    <x v="601"/>
    <x v="4"/>
    <x v="164"/>
  </r>
  <r>
    <x v="710"/>
    <x v="569"/>
    <x v="1"/>
    <x v="15"/>
    <x v="1004"/>
    <x v="5"/>
    <x v="0"/>
    <x v="1016"/>
    <n v="55.5"/>
    <x v="284"/>
    <x v="143"/>
    <x v="2"/>
    <x v="1"/>
    <x v="1"/>
    <x v="2"/>
    <x v="9"/>
    <x v="580"/>
    <x v="4"/>
    <x v="626"/>
  </r>
  <r>
    <x v="710"/>
    <x v="569"/>
    <x v="1"/>
    <x v="19"/>
    <x v="1005"/>
    <x v="8"/>
    <x v="2"/>
    <x v="1017"/>
    <n v="65.989999999999995"/>
    <x v="193"/>
    <x v="143"/>
    <x v="2"/>
    <x v="1"/>
    <x v="1"/>
    <x v="0"/>
    <x v="7"/>
    <x v="338"/>
    <x v="0"/>
    <x v="675"/>
  </r>
  <r>
    <x v="711"/>
    <x v="490"/>
    <x v="1"/>
    <x v="44"/>
    <x v="1006"/>
    <x v="9"/>
    <x v="0"/>
    <x v="1018"/>
    <n v="178.47"/>
    <x v="0"/>
    <x v="137"/>
    <x v="2"/>
    <x v="1"/>
    <x v="2"/>
    <x v="1"/>
    <x v="6"/>
    <x v="16"/>
    <x v="0"/>
    <x v="676"/>
  </r>
  <r>
    <x v="712"/>
    <x v="570"/>
    <x v="0"/>
    <x v="16"/>
    <x v="1007"/>
    <x v="10"/>
    <x v="0"/>
    <x v="1019"/>
    <n v="15.31"/>
    <x v="139"/>
    <x v="146"/>
    <x v="2"/>
    <x v="1"/>
    <x v="3"/>
    <x v="1"/>
    <x v="6"/>
    <x v="659"/>
    <x v="0"/>
    <x v="677"/>
  </r>
  <r>
    <x v="713"/>
    <x v="571"/>
    <x v="0"/>
    <x v="14"/>
    <x v="1008"/>
    <x v="10"/>
    <x v="0"/>
    <x v="1020"/>
    <n v="18.940000000000001"/>
    <x v="6"/>
    <x v="140"/>
    <x v="2"/>
    <x v="1"/>
    <x v="2"/>
    <x v="1"/>
    <x v="3"/>
    <x v="607"/>
    <x v="0"/>
    <x v="678"/>
  </r>
  <r>
    <x v="714"/>
    <x v="572"/>
    <x v="3"/>
    <x v="42"/>
    <x v="1009"/>
    <x v="5"/>
    <x v="0"/>
    <x v="1021"/>
    <n v="11.58"/>
    <x v="165"/>
    <x v="148"/>
    <x v="2"/>
    <x v="1"/>
    <x v="3"/>
    <x v="1"/>
    <x v="4"/>
    <x v="230"/>
    <x v="0"/>
    <x v="679"/>
  </r>
  <r>
    <x v="715"/>
    <x v="573"/>
    <x v="4"/>
    <x v="7"/>
    <x v="1010"/>
    <x v="4"/>
    <x v="2"/>
    <x v="1022"/>
    <n v="6.48"/>
    <x v="196"/>
    <x v="145"/>
    <x v="2"/>
    <x v="1"/>
    <x v="0"/>
    <x v="1"/>
    <x v="5"/>
    <x v="286"/>
    <x v="0"/>
    <x v="680"/>
  </r>
  <r>
    <x v="716"/>
    <x v="574"/>
    <x v="4"/>
    <x v="6"/>
    <x v="1011"/>
    <x v="2"/>
    <x v="0"/>
    <x v="1023"/>
    <n v="53.98"/>
    <x v="128"/>
    <x v="20"/>
    <x v="2"/>
    <x v="1"/>
    <x v="1"/>
    <x v="0"/>
    <x v="0"/>
    <x v="660"/>
    <x v="0"/>
    <x v="430"/>
  </r>
  <r>
    <x v="717"/>
    <x v="575"/>
    <x v="1"/>
    <x v="44"/>
    <x v="1012"/>
    <x v="8"/>
    <x v="1"/>
    <x v="1024"/>
    <n v="140.97999999999999"/>
    <x v="276"/>
    <x v="137"/>
    <x v="2"/>
    <x v="1"/>
    <x v="2"/>
    <x v="2"/>
    <x v="10"/>
    <x v="436"/>
    <x v="2"/>
    <x v="158"/>
  </r>
  <r>
    <x v="717"/>
    <x v="575"/>
    <x v="1"/>
    <x v="40"/>
    <x v="1013"/>
    <x v="9"/>
    <x v="0"/>
    <x v="1025"/>
    <n v="205.99"/>
    <x v="64"/>
    <x v="137"/>
    <x v="2"/>
    <x v="1"/>
    <x v="2"/>
    <x v="0"/>
    <x v="7"/>
    <x v="579"/>
    <x v="0"/>
    <x v="158"/>
  </r>
  <r>
    <x v="718"/>
    <x v="576"/>
    <x v="3"/>
    <x v="17"/>
    <x v="1014"/>
    <x v="0"/>
    <x v="2"/>
    <x v="1026"/>
    <n v="8.69"/>
    <x v="168"/>
    <x v="20"/>
    <x v="2"/>
    <x v="1"/>
    <x v="1"/>
    <x v="1"/>
    <x v="3"/>
    <x v="405"/>
    <x v="0"/>
    <x v="681"/>
  </r>
  <r>
    <x v="719"/>
    <x v="226"/>
    <x v="3"/>
    <x v="48"/>
    <x v="1015"/>
    <x v="9"/>
    <x v="0"/>
    <x v="1027"/>
    <n v="48.91"/>
    <x v="251"/>
    <x v="141"/>
    <x v="2"/>
    <x v="1"/>
    <x v="0"/>
    <x v="1"/>
    <x v="5"/>
    <x v="661"/>
    <x v="0"/>
    <x v="682"/>
  </r>
  <r>
    <x v="719"/>
    <x v="226"/>
    <x v="3"/>
    <x v="30"/>
    <x v="1016"/>
    <x v="0"/>
    <x v="0"/>
    <x v="1028"/>
    <n v="101.41"/>
    <x v="66"/>
    <x v="141"/>
    <x v="2"/>
    <x v="1"/>
    <x v="0"/>
    <x v="1"/>
    <x v="6"/>
    <x v="90"/>
    <x v="5"/>
    <x v="683"/>
  </r>
  <r>
    <x v="720"/>
    <x v="296"/>
    <x v="4"/>
    <x v="22"/>
    <x v="1017"/>
    <x v="10"/>
    <x v="0"/>
    <x v="1029"/>
    <n v="85.99"/>
    <x v="22"/>
    <x v="148"/>
    <x v="2"/>
    <x v="1"/>
    <x v="3"/>
    <x v="0"/>
    <x v="7"/>
    <x v="149"/>
    <x v="3"/>
    <x v="118"/>
  </r>
  <r>
    <x v="721"/>
    <x v="388"/>
    <x v="2"/>
    <x v="2"/>
    <x v="1018"/>
    <x v="3"/>
    <x v="1"/>
    <x v="1030"/>
    <n v="217.85"/>
    <x v="389"/>
    <x v="149"/>
    <x v="2"/>
    <x v="1"/>
    <x v="2"/>
    <x v="2"/>
    <x v="2"/>
    <x v="662"/>
    <x v="2"/>
    <x v="684"/>
  </r>
  <r>
    <x v="721"/>
    <x v="388"/>
    <x v="2"/>
    <x v="21"/>
    <x v="1019"/>
    <x v="4"/>
    <x v="0"/>
    <x v="1031"/>
    <n v="209.37"/>
    <x v="105"/>
    <x v="149"/>
    <x v="2"/>
    <x v="1"/>
    <x v="2"/>
    <x v="2"/>
    <x v="2"/>
    <x v="312"/>
    <x v="5"/>
    <x v="685"/>
  </r>
  <r>
    <x v="722"/>
    <x v="129"/>
    <x v="3"/>
    <x v="2"/>
    <x v="1020"/>
    <x v="4"/>
    <x v="0"/>
    <x v="1032"/>
    <n v="35.89"/>
    <x v="202"/>
    <x v="148"/>
    <x v="2"/>
    <x v="1"/>
    <x v="3"/>
    <x v="1"/>
    <x v="4"/>
    <x v="299"/>
    <x v="0"/>
    <x v="686"/>
  </r>
  <r>
    <x v="723"/>
    <x v="577"/>
    <x v="4"/>
    <x v="2"/>
    <x v="1021"/>
    <x v="5"/>
    <x v="2"/>
    <x v="1033"/>
    <n v="199.99"/>
    <x v="37"/>
    <x v="139"/>
    <x v="2"/>
    <x v="1"/>
    <x v="1"/>
    <x v="0"/>
    <x v="12"/>
    <x v="663"/>
    <x v="5"/>
    <x v="687"/>
  </r>
  <r>
    <x v="724"/>
    <x v="578"/>
    <x v="3"/>
    <x v="3"/>
    <x v="1022"/>
    <x v="4"/>
    <x v="2"/>
    <x v="1034"/>
    <n v="100.97"/>
    <x v="376"/>
    <x v="149"/>
    <x v="2"/>
    <x v="1"/>
    <x v="2"/>
    <x v="0"/>
    <x v="0"/>
    <x v="664"/>
    <x v="0"/>
    <x v="449"/>
  </r>
  <r>
    <x v="724"/>
    <x v="578"/>
    <x v="3"/>
    <x v="29"/>
    <x v="869"/>
    <x v="9"/>
    <x v="0"/>
    <x v="1035"/>
    <n v="4.84"/>
    <x v="280"/>
    <x v="149"/>
    <x v="2"/>
    <x v="1"/>
    <x v="2"/>
    <x v="1"/>
    <x v="1"/>
    <x v="459"/>
    <x v="3"/>
    <x v="449"/>
  </r>
  <r>
    <x v="725"/>
    <x v="579"/>
    <x v="1"/>
    <x v="33"/>
    <x v="1023"/>
    <x v="3"/>
    <x v="2"/>
    <x v="1036"/>
    <n v="4.54"/>
    <x v="197"/>
    <x v="141"/>
    <x v="2"/>
    <x v="1"/>
    <x v="0"/>
    <x v="1"/>
    <x v="3"/>
    <x v="289"/>
    <x v="0"/>
    <x v="688"/>
  </r>
  <r>
    <x v="726"/>
    <x v="580"/>
    <x v="3"/>
    <x v="11"/>
    <x v="1024"/>
    <x v="1"/>
    <x v="0"/>
    <x v="1037"/>
    <n v="6.48"/>
    <x v="80"/>
    <x v="144"/>
    <x v="2"/>
    <x v="1"/>
    <x v="0"/>
    <x v="1"/>
    <x v="5"/>
    <x v="112"/>
    <x v="0"/>
    <x v="412"/>
  </r>
  <r>
    <x v="726"/>
    <x v="580"/>
    <x v="3"/>
    <x v="5"/>
    <x v="1025"/>
    <x v="3"/>
    <x v="1"/>
    <x v="1038"/>
    <n v="20.98"/>
    <x v="390"/>
    <x v="144"/>
    <x v="2"/>
    <x v="1"/>
    <x v="0"/>
    <x v="1"/>
    <x v="6"/>
    <x v="665"/>
    <x v="6"/>
    <x v="689"/>
  </r>
  <r>
    <x v="727"/>
    <x v="581"/>
    <x v="3"/>
    <x v="12"/>
    <x v="1026"/>
    <x v="1"/>
    <x v="0"/>
    <x v="1039"/>
    <n v="70.709999999999994"/>
    <x v="391"/>
    <x v="145"/>
    <x v="2"/>
    <x v="1"/>
    <x v="0"/>
    <x v="2"/>
    <x v="9"/>
    <x v="666"/>
    <x v="3"/>
    <x v="690"/>
  </r>
  <r>
    <x v="728"/>
    <x v="582"/>
    <x v="2"/>
    <x v="45"/>
    <x v="1027"/>
    <x v="1"/>
    <x v="1"/>
    <x v="1040"/>
    <n v="58.14"/>
    <x v="92"/>
    <x v="150"/>
    <x v="2"/>
    <x v="1"/>
    <x v="1"/>
    <x v="2"/>
    <x v="10"/>
    <x v="132"/>
    <x v="2"/>
    <x v="488"/>
  </r>
  <r>
    <x v="729"/>
    <x v="256"/>
    <x v="1"/>
    <x v="33"/>
    <x v="1028"/>
    <x v="2"/>
    <x v="1"/>
    <x v="1041"/>
    <n v="80.97"/>
    <x v="255"/>
    <x v="145"/>
    <x v="2"/>
    <x v="1"/>
    <x v="0"/>
    <x v="0"/>
    <x v="15"/>
    <x v="399"/>
    <x v="2"/>
    <x v="18"/>
  </r>
  <r>
    <x v="729"/>
    <x v="256"/>
    <x v="1"/>
    <x v="43"/>
    <x v="1029"/>
    <x v="3"/>
    <x v="0"/>
    <x v="1042"/>
    <n v="6.48"/>
    <x v="392"/>
    <x v="145"/>
    <x v="2"/>
    <x v="1"/>
    <x v="0"/>
    <x v="1"/>
    <x v="5"/>
    <x v="667"/>
    <x v="0"/>
    <x v="547"/>
  </r>
  <r>
    <x v="730"/>
    <x v="327"/>
    <x v="3"/>
    <x v="15"/>
    <x v="1030"/>
    <x v="4"/>
    <x v="1"/>
    <x v="1043"/>
    <n v="212.6"/>
    <x v="284"/>
    <x v="149"/>
    <x v="2"/>
    <x v="1"/>
    <x v="2"/>
    <x v="2"/>
    <x v="2"/>
    <x v="448"/>
    <x v="2"/>
    <x v="691"/>
  </r>
  <r>
    <x v="731"/>
    <x v="583"/>
    <x v="2"/>
    <x v="34"/>
    <x v="1031"/>
    <x v="4"/>
    <x v="1"/>
    <x v="1044"/>
    <n v="89.99"/>
    <x v="69"/>
    <x v="20"/>
    <x v="2"/>
    <x v="1"/>
    <x v="1"/>
    <x v="2"/>
    <x v="14"/>
    <x v="93"/>
    <x v="6"/>
    <x v="692"/>
  </r>
  <r>
    <x v="732"/>
    <x v="584"/>
    <x v="1"/>
    <x v="27"/>
    <x v="1032"/>
    <x v="0"/>
    <x v="0"/>
    <x v="1045"/>
    <n v="46.89"/>
    <x v="221"/>
    <x v="141"/>
    <x v="2"/>
    <x v="1"/>
    <x v="0"/>
    <x v="1"/>
    <x v="13"/>
    <x v="346"/>
    <x v="4"/>
    <x v="231"/>
  </r>
  <r>
    <x v="733"/>
    <x v="585"/>
    <x v="3"/>
    <x v="17"/>
    <x v="1033"/>
    <x v="6"/>
    <x v="0"/>
    <x v="1046"/>
    <n v="5.8"/>
    <x v="393"/>
    <x v="144"/>
    <x v="2"/>
    <x v="1"/>
    <x v="0"/>
    <x v="1"/>
    <x v="3"/>
    <x v="668"/>
    <x v="0"/>
    <x v="693"/>
  </r>
  <r>
    <x v="734"/>
    <x v="586"/>
    <x v="4"/>
    <x v="7"/>
    <x v="1034"/>
    <x v="8"/>
    <x v="2"/>
    <x v="1047"/>
    <n v="51.98"/>
    <x v="394"/>
    <x v="151"/>
    <x v="2"/>
    <x v="1"/>
    <x v="1"/>
    <x v="0"/>
    <x v="15"/>
    <x v="669"/>
    <x v="4"/>
    <x v="230"/>
  </r>
  <r>
    <x v="735"/>
    <x v="318"/>
    <x v="3"/>
    <x v="39"/>
    <x v="1035"/>
    <x v="4"/>
    <x v="0"/>
    <x v="1048"/>
    <n v="5.85"/>
    <x v="266"/>
    <x v="152"/>
    <x v="2"/>
    <x v="1"/>
    <x v="1"/>
    <x v="1"/>
    <x v="1"/>
    <x v="670"/>
    <x v="3"/>
    <x v="392"/>
  </r>
  <r>
    <x v="736"/>
    <x v="318"/>
    <x v="3"/>
    <x v="46"/>
    <x v="1036"/>
    <x v="10"/>
    <x v="0"/>
    <x v="1049"/>
    <n v="152.47999999999999"/>
    <x v="13"/>
    <x v="153"/>
    <x v="2"/>
    <x v="1"/>
    <x v="0"/>
    <x v="0"/>
    <x v="0"/>
    <x v="274"/>
    <x v="0"/>
    <x v="392"/>
  </r>
  <r>
    <x v="736"/>
    <x v="318"/>
    <x v="3"/>
    <x v="27"/>
    <x v="1037"/>
    <x v="6"/>
    <x v="2"/>
    <x v="1050"/>
    <n v="24.98"/>
    <x v="395"/>
    <x v="153"/>
    <x v="2"/>
    <x v="1"/>
    <x v="0"/>
    <x v="1"/>
    <x v="6"/>
    <x v="671"/>
    <x v="0"/>
    <x v="615"/>
  </r>
  <r>
    <x v="737"/>
    <x v="544"/>
    <x v="0"/>
    <x v="42"/>
    <x v="1038"/>
    <x v="2"/>
    <x v="0"/>
    <x v="1051"/>
    <n v="73.98"/>
    <x v="32"/>
    <x v="151"/>
    <x v="2"/>
    <x v="1"/>
    <x v="1"/>
    <x v="0"/>
    <x v="0"/>
    <x v="46"/>
    <x v="0"/>
    <x v="694"/>
  </r>
  <r>
    <x v="738"/>
    <x v="587"/>
    <x v="2"/>
    <x v="30"/>
    <x v="1039"/>
    <x v="10"/>
    <x v="0"/>
    <x v="1052"/>
    <n v="18.97"/>
    <x v="164"/>
    <x v="153"/>
    <x v="2"/>
    <x v="1"/>
    <x v="0"/>
    <x v="1"/>
    <x v="5"/>
    <x v="672"/>
    <x v="0"/>
    <x v="695"/>
  </r>
  <r>
    <x v="738"/>
    <x v="587"/>
    <x v="2"/>
    <x v="16"/>
    <x v="1040"/>
    <x v="10"/>
    <x v="0"/>
    <x v="1053"/>
    <n v="85.99"/>
    <x v="22"/>
    <x v="153"/>
    <x v="2"/>
    <x v="1"/>
    <x v="0"/>
    <x v="0"/>
    <x v="7"/>
    <x v="149"/>
    <x v="3"/>
    <x v="696"/>
  </r>
  <r>
    <x v="739"/>
    <x v="588"/>
    <x v="2"/>
    <x v="40"/>
    <x v="1041"/>
    <x v="4"/>
    <x v="2"/>
    <x v="1054"/>
    <n v="7.77"/>
    <x v="396"/>
    <x v="152"/>
    <x v="2"/>
    <x v="1"/>
    <x v="1"/>
    <x v="1"/>
    <x v="13"/>
    <x v="673"/>
    <x v="0"/>
    <x v="697"/>
  </r>
  <r>
    <x v="740"/>
    <x v="376"/>
    <x v="4"/>
    <x v="27"/>
    <x v="1042"/>
    <x v="9"/>
    <x v="0"/>
    <x v="1055"/>
    <n v="14.42"/>
    <x v="157"/>
    <x v="153"/>
    <x v="2"/>
    <x v="1"/>
    <x v="1"/>
    <x v="1"/>
    <x v="13"/>
    <x v="221"/>
    <x v="4"/>
    <x v="698"/>
  </r>
  <r>
    <x v="741"/>
    <x v="219"/>
    <x v="3"/>
    <x v="14"/>
    <x v="1043"/>
    <x v="9"/>
    <x v="1"/>
    <x v="1056"/>
    <n v="110.98"/>
    <x v="147"/>
    <x v="152"/>
    <x v="2"/>
    <x v="1"/>
    <x v="1"/>
    <x v="2"/>
    <x v="14"/>
    <x v="674"/>
    <x v="6"/>
    <x v="270"/>
  </r>
  <r>
    <x v="741"/>
    <x v="219"/>
    <x v="3"/>
    <x v="11"/>
    <x v="1044"/>
    <x v="6"/>
    <x v="0"/>
    <x v="1057"/>
    <n v="12.53"/>
    <x v="14"/>
    <x v="152"/>
    <x v="2"/>
    <x v="1"/>
    <x v="1"/>
    <x v="1"/>
    <x v="8"/>
    <x v="675"/>
    <x v="0"/>
    <x v="270"/>
  </r>
  <r>
    <x v="742"/>
    <x v="589"/>
    <x v="2"/>
    <x v="40"/>
    <x v="1045"/>
    <x v="6"/>
    <x v="2"/>
    <x v="1058"/>
    <n v="123.38"/>
    <x v="37"/>
    <x v="151"/>
    <x v="2"/>
    <x v="1"/>
    <x v="0"/>
    <x v="1"/>
    <x v="13"/>
    <x v="676"/>
    <x v="5"/>
    <x v="699"/>
  </r>
  <r>
    <x v="743"/>
    <x v="545"/>
    <x v="2"/>
    <x v="11"/>
    <x v="1046"/>
    <x v="7"/>
    <x v="0"/>
    <x v="1059"/>
    <n v="7.7"/>
    <x v="300"/>
    <x v="154"/>
    <x v="2"/>
    <x v="1"/>
    <x v="3"/>
    <x v="2"/>
    <x v="9"/>
    <x v="478"/>
    <x v="3"/>
    <x v="645"/>
  </r>
  <r>
    <x v="744"/>
    <x v="590"/>
    <x v="2"/>
    <x v="48"/>
    <x v="1047"/>
    <x v="3"/>
    <x v="0"/>
    <x v="1060"/>
    <n v="1.88"/>
    <x v="6"/>
    <x v="153"/>
    <x v="2"/>
    <x v="1"/>
    <x v="1"/>
    <x v="1"/>
    <x v="3"/>
    <x v="390"/>
    <x v="0"/>
    <x v="430"/>
  </r>
  <r>
    <x v="745"/>
    <x v="573"/>
    <x v="4"/>
    <x v="37"/>
    <x v="1048"/>
    <x v="7"/>
    <x v="0"/>
    <x v="1061"/>
    <n v="20.27"/>
    <x v="193"/>
    <x v="154"/>
    <x v="2"/>
    <x v="1"/>
    <x v="3"/>
    <x v="1"/>
    <x v="13"/>
    <x v="677"/>
    <x v="0"/>
    <x v="700"/>
  </r>
  <r>
    <x v="745"/>
    <x v="573"/>
    <x v="4"/>
    <x v="5"/>
    <x v="1049"/>
    <x v="3"/>
    <x v="0"/>
    <x v="1062"/>
    <n v="9.93"/>
    <x v="397"/>
    <x v="154"/>
    <x v="2"/>
    <x v="1"/>
    <x v="3"/>
    <x v="1"/>
    <x v="1"/>
    <x v="678"/>
    <x v="3"/>
    <x v="680"/>
  </r>
  <r>
    <x v="746"/>
    <x v="125"/>
    <x v="3"/>
    <x v="18"/>
    <x v="1050"/>
    <x v="4"/>
    <x v="1"/>
    <x v="1063"/>
    <n v="424.21"/>
    <x v="304"/>
    <x v="153"/>
    <x v="2"/>
    <x v="1"/>
    <x v="1"/>
    <x v="2"/>
    <x v="2"/>
    <x v="679"/>
    <x v="2"/>
    <x v="120"/>
  </r>
  <r>
    <x v="747"/>
    <x v="591"/>
    <x v="2"/>
    <x v="2"/>
    <x v="1051"/>
    <x v="1"/>
    <x v="2"/>
    <x v="1064"/>
    <n v="42.98"/>
    <x v="141"/>
    <x v="152"/>
    <x v="2"/>
    <x v="1"/>
    <x v="1"/>
    <x v="1"/>
    <x v="13"/>
    <x v="198"/>
    <x v="0"/>
    <x v="701"/>
  </r>
  <r>
    <x v="747"/>
    <x v="591"/>
    <x v="2"/>
    <x v="4"/>
    <x v="1052"/>
    <x v="0"/>
    <x v="2"/>
    <x v="1065"/>
    <n v="8.0399999999999991"/>
    <x v="317"/>
    <x v="152"/>
    <x v="2"/>
    <x v="1"/>
    <x v="1"/>
    <x v="1"/>
    <x v="3"/>
    <x v="506"/>
    <x v="0"/>
    <x v="524"/>
  </r>
  <r>
    <x v="748"/>
    <x v="592"/>
    <x v="4"/>
    <x v="24"/>
    <x v="1053"/>
    <x v="7"/>
    <x v="0"/>
    <x v="1066"/>
    <n v="35.99"/>
    <x v="106"/>
    <x v="153"/>
    <x v="2"/>
    <x v="1"/>
    <x v="0"/>
    <x v="0"/>
    <x v="7"/>
    <x v="680"/>
    <x v="1"/>
    <x v="252"/>
  </r>
  <r>
    <x v="748"/>
    <x v="592"/>
    <x v="4"/>
    <x v="14"/>
    <x v="1054"/>
    <x v="9"/>
    <x v="0"/>
    <x v="1067"/>
    <n v="25.98"/>
    <x v="42"/>
    <x v="153"/>
    <x v="2"/>
    <x v="1"/>
    <x v="0"/>
    <x v="1"/>
    <x v="13"/>
    <x v="57"/>
    <x v="4"/>
    <x v="702"/>
  </r>
  <r>
    <x v="748"/>
    <x v="592"/>
    <x v="4"/>
    <x v="45"/>
    <x v="1055"/>
    <x v="10"/>
    <x v="0"/>
    <x v="1068"/>
    <n v="6.24"/>
    <x v="102"/>
    <x v="153"/>
    <x v="2"/>
    <x v="1"/>
    <x v="0"/>
    <x v="2"/>
    <x v="9"/>
    <x v="147"/>
    <x v="0"/>
    <x v="703"/>
  </r>
  <r>
    <x v="749"/>
    <x v="552"/>
    <x v="2"/>
    <x v="26"/>
    <x v="1056"/>
    <x v="10"/>
    <x v="0"/>
    <x v="1069"/>
    <n v="7.28"/>
    <x v="398"/>
    <x v="155"/>
    <x v="2"/>
    <x v="1"/>
    <x v="3"/>
    <x v="2"/>
    <x v="9"/>
    <x v="681"/>
    <x v="3"/>
    <x v="13"/>
  </r>
  <r>
    <x v="750"/>
    <x v="1"/>
    <x v="3"/>
    <x v="21"/>
    <x v="1057"/>
    <x v="7"/>
    <x v="0"/>
    <x v="1070"/>
    <n v="4.9800000000000004"/>
    <x v="302"/>
    <x v="156"/>
    <x v="2"/>
    <x v="1"/>
    <x v="0"/>
    <x v="1"/>
    <x v="5"/>
    <x v="481"/>
    <x v="0"/>
    <x v="281"/>
  </r>
  <r>
    <x v="751"/>
    <x v="365"/>
    <x v="0"/>
    <x v="11"/>
    <x v="1058"/>
    <x v="6"/>
    <x v="0"/>
    <x v="1071"/>
    <n v="5.08"/>
    <x v="351"/>
    <x v="156"/>
    <x v="2"/>
    <x v="1"/>
    <x v="0"/>
    <x v="2"/>
    <x v="9"/>
    <x v="575"/>
    <x v="3"/>
    <x v="704"/>
  </r>
  <r>
    <x v="752"/>
    <x v="593"/>
    <x v="1"/>
    <x v="24"/>
    <x v="1059"/>
    <x v="4"/>
    <x v="0"/>
    <x v="1072"/>
    <n v="26.48"/>
    <x v="399"/>
    <x v="152"/>
    <x v="2"/>
    <x v="1"/>
    <x v="1"/>
    <x v="2"/>
    <x v="9"/>
    <x v="682"/>
    <x v="0"/>
    <x v="705"/>
  </r>
  <r>
    <x v="753"/>
    <x v="552"/>
    <x v="0"/>
    <x v="49"/>
    <x v="1060"/>
    <x v="1"/>
    <x v="0"/>
    <x v="1073"/>
    <n v="5"/>
    <x v="400"/>
    <x v="152"/>
    <x v="2"/>
    <x v="1"/>
    <x v="1"/>
    <x v="1"/>
    <x v="11"/>
    <x v="683"/>
    <x v="3"/>
    <x v="706"/>
  </r>
  <r>
    <x v="753"/>
    <x v="552"/>
    <x v="0"/>
    <x v="46"/>
    <x v="1061"/>
    <x v="0"/>
    <x v="0"/>
    <x v="1074"/>
    <n v="12.99"/>
    <x v="401"/>
    <x v="152"/>
    <x v="2"/>
    <x v="1"/>
    <x v="1"/>
    <x v="0"/>
    <x v="15"/>
    <x v="684"/>
    <x v="4"/>
    <x v="543"/>
  </r>
  <r>
    <x v="754"/>
    <x v="594"/>
    <x v="4"/>
    <x v="4"/>
    <x v="1062"/>
    <x v="7"/>
    <x v="0"/>
    <x v="1075"/>
    <n v="4.24"/>
    <x v="95"/>
    <x v="154"/>
    <x v="2"/>
    <x v="1"/>
    <x v="3"/>
    <x v="1"/>
    <x v="3"/>
    <x v="136"/>
    <x v="0"/>
    <x v="707"/>
  </r>
  <r>
    <x v="754"/>
    <x v="594"/>
    <x v="4"/>
    <x v="15"/>
    <x v="1063"/>
    <x v="5"/>
    <x v="0"/>
    <x v="1076"/>
    <n v="6783.02"/>
    <x v="37"/>
    <x v="154"/>
    <x v="2"/>
    <x v="1"/>
    <x v="3"/>
    <x v="0"/>
    <x v="15"/>
    <x v="639"/>
    <x v="5"/>
    <x v="707"/>
  </r>
  <r>
    <x v="755"/>
    <x v="205"/>
    <x v="4"/>
    <x v="0"/>
    <x v="1064"/>
    <x v="4"/>
    <x v="2"/>
    <x v="1077"/>
    <n v="12.98"/>
    <x v="199"/>
    <x v="154"/>
    <x v="2"/>
    <x v="1"/>
    <x v="3"/>
    <x v="1"/>
    <x v="16"/>
    <x v="292"/>
    <x v="1"/>
    <x v="708"/>
  </r>
  <r>
    <x v="755"/>
    <x v="205"/>
    <x v="4"/>
    <x v="3"/>
    <x v="1065"/>
    <x v="1"/>
    <x v="0"/>
    <x v="1078"/>
    <n v="13.48"/>
    <x v="35"/>
    <x v="154"/>
    <x v="2"/>
    <x v="1"/>
    <x v="3"/>
    <x v="1"/>
    <x v="6"/>
    <x v="50"/>
    <x v="0"/>
    <x v="708"/>
  </r>
  <r>
    <x v="756"/>
    <x v="61"/>
    <x v="4"/>
    <x v="13"/>
    <x v="1066"/>
    <x v="10"/>
    <x v="2"/>
    <x v="1079"/>
    <n v="55.48"/>
    <x v="63"/>
    <x v="155"/>
    <x v="2"/>
    <x v="1"/>
    <x v="3"/>
    <x v="1"/>
    <x v="5"/>
    <x v="87"/>
    <x v="0"/>
    <x v="709"/>
  </r>
  <r>
    <x v="757"/>
    <x v="595"/>
    <x v="0"/>
    <x v="4"/>
    <x v="1067"/>
    <x v="6"/>
    <x v="0"/>
    <x v="1080"/>
    <n v="6.68"/>
    <x v="402"/>
    <x v="153"/>
    <x v="2"/>
    <x v="1"/>
    <x v="1"/>
    <x v="1"/>
    <x v="5"/>
    <x v="685"/>
    <x v="0"/>
    <x v="710"/>
  </r>
  <r>
    <x v="758"/>
    <x v="596"/>
    <x v="2"/>
    <x v="8"/>
    <x v="1068"/>
    <x v="3"/>
    <x v="1"/>
    <x v="1081"/>
    <n v="280.98"/>
    <x v="227"/>
    <x v="155"/>
    <x v="2"/>
    <x v="1"/>
    <x v="3"/>
    <x v="2"/>
    <x v="14"/>
    <x v="352"/>
    <x v="6"/>
    <x v="584"/>
  </r>
  <r>
    <x v="758"/>
    <x v="596"/>
    <x v="2"/>
    <x v="6"/>
    <x v="1069"/>
    <x v="10"/>
    <x v="0"/>
    <x v="1082"/>
    <n v="10.98"/>
    <x v="298"/>
    <x v="155"/>
    <x v="2"/>
    <x v="1"/>
    <x v="3"/>
    <x v="1"/>
    <x v="16"/>
    <x v="509"/>
    <x v="1"/>
    <x v="711"/>
  </r>
  <r>
    <x v="759"/>
    <x v="597"/>
    <x v="3"/>
    <x v="2"/>
    <x v="1070"/>
    <x v="3"/>
    <x v="0"/>
    <x v="1083"/>
    <n v="22.99"/>
    <x v="1"/>
    <x v="153"/>
    <x v="2"/>
    <x v="1"/>
    <x v="1"/>
    <x v="1"/>
    <x v="1"/>
    <x v="686"/>
    <x v="1"/>
    <x v="712"/>
  </r>
  <r>
    <x v="760"/>
    <x v="230"/>
    <x v="1"/>
    <x v="40"/>
    <x v="1071"/>
    <x v="2"/>
    <x v="0"/>
    <x v="1084"/>
    <n v="5.98"/>
    <x v="243"/>
    <x v="157"/>
    <x v="2"/>
    <x v="1"/>
    <x v="3"/>
    <x v="1"/>
    <x v="5"/>
    <x v="377"/>
    <x v="0"/>
    <x v="283"/>
  </r>
  <r>
    <x v="761"/>
    <x v="312"/>
    <x v="4"/>
    <x v="28"/>
    <x v="1072"/>
    <x v="8"/>
    <x v="0"/>
    <x v="1085"/>
    <n v="4.9800000000000004"/>
    <x v="141"/>
    <x v="157"/>
    <x v="2"/>
    <x v="1"/>
    <x v="3"/>
    <x v="0"/>
    <x v="0"/>
    <x v="354"/>
    <x v="1"/>
    <x v="379"/>
  </r>
  <r>
    <x v="761"/>
    <x v="312"/>
    <x v="4"/>
    <x v="39"/>
    <x v="1073"/>
    <x v="2"/>
    <x v="0"/>
    <x v="1086"/>
    <n v="7.64"/>
    <x v="197"/>
    <x v="157"/>
    <x v="2"/>
    <x v="1"/>
    <x v="3"/>
    <x v="1"/>
    <x v="5"/>
    <x v="304"/>
    <x v="3"/>
    <x v="713"/>
  </r>
  <r>
    <x v="762"/>
    <x v="598"/>
    <x v="1"/>
    <x v="41"/>
    <x v="1074"/>
    <x v="4"/>
    <x v="0"/>
    <x v="1087"/>
    <n v="30.53"/>
    <x v="0"/>
    <x v="158"/>
    <x v="2"/>
    <x v="1"/>
    <x v="2"/>
    <x v="1"/>
    <x v="8"/>
    <x v="687"/>
    <x v="0"/>
    <x v="714"/>
  </r>
  <r>
    <x v="763"/>
    <x v="529"/>
    <x v="0"/>
    <x v="34"/>
    <x v="1075"/>
    <x v="0"/>
    <x v="0"/>
    <x v="1088"/>
    <n v="105.29"/>
    <x v="403"/>
    <x v="158"/>
    <x v="2"/>
    <x v="1"/>
    <x v="2"/>
    <x v="2"/>
    <x v="9"/>
    <x v="688"/>
    <x v="5"/>
    <x v="648"/>
  </r>
  <r>
    <x v="763"/>
    <x v="529"/>
    <x v="0"/>
    <x v="14"/>
    <x v="1076"/>
    <x v="6"/>
    <x v="2"/>
    <x v="1089"/>
    <n v="65.989999999999995"/>
    <x v="272"/>
    <x v="158"/>
    <x v="2"/>
    <x v="1"/>
    <x v="2"/>
    <x v="0"/>
    <x v="7"/>
    <x v="689"/>
    <x v="0"/>
    <x v="715"/>
  </r>
  <r>
    <x v="764"/>
    <x v="394"/>
    <x v="4"/>
    <x v="5"/>
    <x v="1077"/>
    <x v="3"/>
    <x v="1"/>
    <x v="1090"/>
    <n v="120.98"/>
    <x v="404"/>
    <x v="158"/>
    <x v="2"/>
    <x v="1"/>
    <x v="2"/>
    <x v="2"/>
    <x v="10"/>
    <x v="690"/>
    <x v="2"/>
    <x v="716"/>
  </r>
  <r>
    <x v="764"/>
    <x v="394"/>
    <x v="4"/>
    <x v="17"/>
    <x v="1078"/>
    <x v="6"/>
    <x v="0"/>
    <x v="1091"/>
    <n v="20.97"/>
    <x v="115"/>
    <x v="158"/>
    <x v="2"/>
    <x v="1"/>
    <x v="2"/>
    <x v="0"/>
    <x v="0"/>
    <x v="691"/>
    <x v="0"/>
    <x v="716"/>
  </r>
  <r>
    <x v="764"/>
    <x v="394"/>
    <x v="4"/>
    <x v="26"/>
    <x v="1079"/>
    <x v="8"/>
    <x v="0"/>
    <x v="1092"/>
    <n v="20.99"/>
    <x v="22"/>
    <x v="158"/>
    <x v="2"/>
    <x v="1"/>
    <x v="2"/>
    <x v="0"/>
    <x v="7"/>
    <x v="385"/>
    <x v="3"/>
    <x v="277"/>
  </r>
  <r>
    <x v="765"/>
    <x v="599"/>
    <x v="2"/>
    <x v="19"/>
    <x v="1080"/>
    <x v="4"/>
    <x v="0"/>
    <x v="1093"/>
    <n v="70.97"/>
    <x v="124"/>
    <x v="157"/>
    <x v="2"/>
    <x v="1"/>
    <x v="3"/>
    <x v="1"/>
    <x v="13"/>
    <x v="692"/>
    <x v="0"/>
    <x v="717"/>
  </r>
  <r>
    <x v="765"/>
    <x v="599"/>
    <x v="2"/>
    <x v="2"/>
    <x v="1081"/>
    <x v="3"/>
    <x v="0"/>
    <x v="1094"/>
    <n v="5.34"/>
    <x v="168"/>
    <x v="157"/>
    <x v="2"/>
    <x v="1"/>
    <x v="3"/>
    <x v="1"/>
    <x v="3"/>
    <x v="431"/>
    <x v="0"/>
    <x v="717"/>
  </r>
  <r>
    <x v="766"/>
    <x v="600"/>
    <x v="4"/>
    <x v="1"/>
    <x v="1082"/>
    <x v="0"/>
    <x v="0"/>
    <x v="1095"/>
    <n v="15.98"/>
    <x v="1"/>
    <x v="156"/>
    <x v="2"/>
    <x v="1"/>
    <x v="0"/>
    <x v="0"/>
    <x v="0"/>
    <x v="537"/>
    <x v="1"/>
    <x v="718"/>
  </r>
  <r>
    <x v="767"/>
    <x v="601"/>
    <x v="3"/>
    <x v="12"/>
    <x v="1083"/>
    <x v="10"/>
    <x v="0"/>
    <x v="1096"/>
    <n v="11.33"/>
    <x v="373"/>
    <x v="159"/>
    <x v="2"/>
    <x v="1"/>
    <x v="2"/>
    <x v="1"/>
    <x v="13"/>
    <x v="625"/>
    <x v="4"/>
    <x v="719"/>
  </r>
  <r>
    <x v="768"/>
    <x v="17"/>
    <x v="1"/>
    <x v="21"/>
    <x v="1084"/>
    <x v="1"/>
    <x v="0"/>
    <x v="1097"/>
    <n v="10.01"/>
    <x v="10"/>
    <x v="160"/>
    <x v="2"/>
    <x v="1"/>
    <x v="0"/>
    <x v="0"/>
    <x v="0"/>
    <x v="264"/>
    <x v="1"/>
    <x v="720"/>
  </r>
  <r>
    <x v="768"/>
    <x v="17"/>
    <x v="1"/>
    <x v="17"/>
    <x v="1085"/>
    <x v="1"/>
    <x v="0"/>
    <x v="1098"/>
    <n v="51.98"/>
    <x v="394"/>
    <x v="160"/>
    <x v="2"/>
    <x v="1"/>
    <x v="0"/>
    <x v="0"/>
    <x v="15"/>
    <x v="669"/>
    <x v="4"/>
    <x v="22"/>
  </r>
  <r>
    <x v="768"/>
    <x v="17"/>
    <x v="1"/>
    <x v="10"/>
    <x v="1086"/>
    <x v="4"/>
    <x v="0"/>
    <x v="1099"/>
    <n v="64.98"/>
    <x v="247"/>
    <x v="160"/>
    <x v="2"/>
    <x v="1"/>
    <x v="0"/>
    <x v="1"/>
    <x v="6"/>
    <x v="383"/>
    <x v="0"/>
    <x v="721"/>
  </r>
  <r>
    <x v="768"/>
    <x v="17"/>
    <x v="1"/>
    <x v="18"/>
    <x v="1087"/>
    <x v="4"/>
    <x v="1"/>
    <x v="1100"/>
    <n v="138.75"/>
    <x v="405"/>
    <x v="160"/>
    <x v="2"/>
    <x v="1"/>
    <x v="0"/>
    <x v="2"/>
    <x v="2"/>
    <x v="693"/>
    <x v="2"/>
    <x v="22"/>
  </r>
  <r>
    <x v="769"/>
    <x v="396"/>
    <x v="2"/>
    <x v="39"/>
    <x v="1088"/>
    <x v="1"/>
    <x v="0"/>
    <x v="1101"/>
    <n v="2.84"/>
    <x v="406"/>
    <x v="160"/>
    <x v="2"/>
    <x v="1"/>
    <x v="0"/>
    <x v="1"/>
    <x v="1"/>
    <x v="694"/>
    <x v="3"/>
    <x v="722"/>
  </r>
  <r>
    <x v="770"/>
    <x v="602"/>
    <x v="2"/>
    <x v="1"/>
    <x v="1089"/>
    <x v="9"/>
    <x v="0"/>
    <x v="1102"/>
    <n v="28.15"/>
    <x v="407"/>
    <x v="160"/>
    <x v="2"/>
    <x v="1"/>
    <x v="0"/>
    <x v="1"/>
    <x v="1"/>
    <x v="695"/>
    <x v="1"/>
    <x v="723"/>
  </r>
  <r>
    <x v="770"/>
    <x v="602"/>
    <x v="2"/>
    <x v="46"/>
    <x v="1090"/>
    <x v="3"/>
    <x v="0"/>
    <x v="1103"/>
    <n v="12.98"/>
    <x v="199"/>
    <x v="160"/>
    <x v="2"/>
    <x v="1"/>
    <x v="0"/>
    <x v="1"/>
    <x v="16"/>
    <x v="292"/>
    <x v="1"/>
    <x v="723"/>
  </r>
  <r>
    <x v="771"/>
    <x v="513"/>
    <x v="1"/>
    <x v="10"/>
    <x v="1091"/>
    <x v="2"/>
    <x v="0"/>
    <x v="1104"/>
    <n v="20.99"/>
    <x v="106"/>
    <x v="161"/>
    <x v="2"/>
    <x v="1"/>
    <x v="2"/>
    <x v="0"/>
    <x v="7"/>
    <x v="446"/>
    <x v="1"/>
    <x v="65"/>
  </r>
  <r>
    <x v="772"/>
    <x v="603"/>
    <x v="3"/>
    <x v="2"/>
    <x v="1092"/>
    <x v="2"/>
    <x v="0"/>
    <x v="1105"/>
    <n v="14.45"/>
    <x v="408"/>
    <x v="161"/>
    <x v="2"/>
    <x v="1"/>
    <x v="2"/>
    <x v="1"/>
    <x v="3"/>
    <x v="696"/>
    <x v="0"/>
    <x v="182"/>
  </r>
  <r>
    <x v="773"/>
    <x v="604"/>
    <x v="4"/>
    <x v="26"/>
    <x v="1093"/>
    <x v="6"/>
    <x v="0"/>
    <x v="1106"/>
    <n v="9.11"/>
    <x v="189"/>
    <x v="162"/>
    <x v="2"/>
    <x v="1"/>
    <x v="3"/>
    <x v="1"/>
    <x v="5"/>
    <x v="275"/>
    <x v="3"/>
    <x v="724"/>
  </r>
  <r>
    <x v="774"/>
    <x v="420"/>
    <x v="2"/>
    <x v="38"/>
    <x v="1094"/>
    <x v="5"/>
    <x v="0"/>
    <x v="1107"/>
    <n v="20.89"/>
    <x v="10"/>
    <x v="160"/>
    <x v="2"/>
    <x v="1"/>
    <x v="0"/>
    <x v="0"/>
    <x v="0"/>
    <x v="697"/>
    <x v="1"/>
    <x v="7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B16" firstHeaderRow="2" firstDataRow="2" firstDataCol="1" rowPageCount="1" colPageCount="1"/>
  <pivotFields count="19">
    <pivotField compact="0" outline="0" subtotalTop="0" showAll="0" includeNewItemsInFilter="1" sortType="ascending">
      <items count="776">
        <item x="652"/>
        <item x="532"/>
        <item x="533"/>
        <item x="534"/>
        <item x="0"/>
        <item x="653"/>
        <item x="654"/>
        <item x="1"/>
        <item x="2"/>
        <item x="3"/>
        <item x="535"/>
        <item x="4"/>
        <item x="536"/>
        <item x="5"/>
        <item x="6"/>
        <item x="537"/>
        <item x="7"/>
        <item x="8"/>
        <item x="538"/>
        <item x="9"/>
        <item x="10"/>
        <item x="11"/>
        <item x="539"/>
        <item x="12"/>
        <item x="13"/>
        <item x="655"/>
        <item x="14"/>
        <item x="15"/>
        <item x="16"/>
        <item x="656"/>
        <item x="17"/>
        <item x="18"/>
        <item x="19"/>
        <item x="20"/>
        <item x="540"/>
        <item x="21"/>
        <item x="22"/>
        <item x="23"/>
        <item x="24"/>
        <item x="25"/>
        <item x="26"/>
        <item x="541"/>
        <item x="27"/>
        <item x="28"/>
        <item x="542"/>
        <item x="29"/>
        <item x="30"/>
        <item x="657"/>
        <item x="543"/>
        <item x="544"/>
        <item x="31"/>
        <item x="32"/>
        <item x="33"/>
        <item x="545"/>
        <item x="34"/>
        <item x="35"/>
        <item x="546"/>
        <item x="36"/>
        <item x="37"/>
        <item x="38"/>
        <item x="547"/>
        <item x="39"/>
        <item x="40"/>
        <item x="548"/>
        <item x="767"/>
        <item x="41"/>
        <item x="42"/>
        <item x="43"/>
        <item x="549"/>
        <item x="550"/>
        <item x="551"/>
        <item x="44"/>
        <item x="45"/>
        <item x="46"/>
        <item x="47"/>
        <item x="48"/>
        <item x="658"/>
        <item x="552"/>
        <item x="553"/>
        <item x="554"/>
        <item x="49"/>
        <item x="50"/>
        <item x="51"/>
        <item x="52"/>
        <item x="53"/>
        <item x="54"/>
        <item x="734"/>
        <item x="768"/>
        <item x="55"/>
        <item x="56"/>
        <item x="555"/>
        <item x="57"/>
        <item x="58"/>
        <item x="659"/>
        <item x="59"/>
        <item x="60"/>
        <item x="556"/>
        <item x="769"/>
        <item x="770"/>
        <item x="771"/>
        <item x="660"/>
        <item x="661"/>
        <item x="61"/>
        <item x="62"/>
        <item x="63"/>
        <item x="64"/>
        <item x="65"/>
        <item x="66"/>
        <item x="772"/>
        <item x="67"/>
        <item x="68"/>
        <item x="662"/>
        <item x="69"/>
        <item x="70"/>
        <item x="773"/>
        <item x="663"/>
        <item x="71"/>
        <item x="72"/>
        <item x="73"/>
        <item x="74"/>
        <item x="75"/>
        <item x="76"/>
        <item x="77"/>
        <item x="78"/>
        <item x="79"/>
        <item x="664"/>
        <item x="557"/>
        <item x="558"/>
        <item x="80"/>
        <item x="735"/>
        <item x="81"/>
        <item x="82"/>
        <item x="83"/>
        <item x="84"/>
        <item x="559"/>
        <item x="85"/>
        <item x="86"/>
        <item x="87"/>
        <item x="88"/>
        <item x="665"/>
        <item x="89"/>
        <item x="90"/>
        <item x="91"/>
        <item x="92"/>
        <item x="93"/>
        <item x="94"/>
        <item x="666"/>
        <item x="95"/>
        <item x="560"/>
        <item x="561"/>
        <item x="96"/>
        <item x="97"/>
        <item x="98"/>
        <item x="99"/>
        <item x="100"/>
        <item x="101"/>
        <item x="102"/>
        <item x="103"/>
        <item x="736"/>
        <item x="104"/>
        <item x="105"/>
        <item x="106"/>
        <item x="107"/>
        <item x="562"/>
        <item x="737"/>
        <item x="774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67"/>
        <item x="128"/>
        <item x="129"/>
        <item x="668"/>
        <item x="130"/>
        <item x="563"/>
        <item x="131"/>
        <item x="132"/>
        <item x="133"/>
        <item x="669"/>
        <item x="670"/>
        <item x="134"/>
        <item x="135"/>
        <item x="136"/>
        <item x="137"/>
        <item x="564"/>
        <item x="138"/>
        <item x="565"/>
        <item x="139"/>
        <item x="566"/>
        <item x="140"/>
        <item x="567"/>
        <item x="568"/>
        <item x="141"/>
        <item x="142"/>
        <item x="143"/>
        <item x="738"/>
        <item x="144"/>
        <item x="145"/>
        <item x="146"/>
        <item x="569"/>
        <item x="671"/>
        <item x="147"/>
        <item x="148"/>
        <item x="149"/>
        <item x="570"/>
        <item x="672"/>
        <item x="571"/>
        <item x="150"/>
        <item x="151"/>
        <item x="152"/>
        <item x="153"/>
        <item x="154"/>
        <item x="155"/>
        <item x="156"/>
        <item x="157"/>
        <item x="158"/>
        <item x="739"/>
        <item x="740"/>
        <item x="572"/>
        <item x="573"/>
        <item x="159"/>
        <item x="160"/>
        <item x="161"/>
        <item x="162"/>
        <item x="163"/>
        <item x="673"/>
        <item x="741"/>
        <item x="574"/>
        <item x="164"/>
        <item x="165"/>
        <item x="166"/>
        <item x="167"/>
        <item x="168"/>
        <item x="169"/>
        <item x="170"/>
        <item x="171"/>
        <item x="575"/>
        <item x="172"/>
        <item x="173"/>
        <item x="174"/>
        <item x="175"/>
        <item x="176"/>
        <item x="177"/>
        <item x="576"/>
        <item x="178"/>
        <item x="674"/>
        <item x="179"/>
        <item x="577"/>
        <item x="180"/>
        <item x="181"/>
        <item x="182"/>
        <item x="183"/>
        <item x="184"/>
        <item x="185"/>
        <item x="578"/>
        <item x="186"/>
        <item x="187"/>
        <item x="675"/>
        <item x="188"/>
        <item x="189"/>
        <item x="190"/>
        <item x="191"/>
        <item x="579"/>
        <item x="192"/>
        <item x="193"/>
        <item x="742"/>
        <item x="194"/>
        <item x="195"/>
        <item x="196"/>
        <item x="197"/>
        <item x="198"/>
        <item x="676"/>
        <item x="199"/>
        <item x="200"/>
        <item x="201"/>
        <item x="202"/>
        <item x="203"/>
        <item x="204"/>
        <item x="205"/>
        <item x="206"/>
        <item x="207"/>
        <item x="743"/>
        <item x="208"/>
        <item x="209"/>
        <item x="580"/>
        <item x="677"/>
        <item x="210"/>
        <item x="211"/>
        <item x="212"/>
        <item x="213"/>
        <item x="214"/>
        <item x="215"/>
        <item x="581"/>
        <item x="216"/>
        <item x="678"/>
        <item x="217"/>
        <item x="218"/>
        <item x="219"/>
        <item x="220"/>
        <item x="679"/>
        <item x="221"/>
        <item x="222"/>
        <item x="223"/>
        <item x="224"/>
        <item x="225"/>
        <item x="226"/>
        <item x="227"/>
        <item x="228"/>
        <item x="582"/>
        <item x="229"/>
        <item x="583"/>
        <item x="230"/>
        <item x="231"/>
        <item x="232"/>
        <item x="233"/>
        <item x="680"/>
        <item x="681"/>
        <item x="234"/>
        <item x="235"/>
        <item x="236"/>
        <item x="237"/>
        <item x="238"/>
        <item x="744"/>
        <item x="239"/>
        <item x="240"/>
        <item x="241"/>
        <item x="584"/>
        <item x="242"/>
        <item x="243"/>
        <item x="244"/>
        <item x="245"/>
        <item x="585"/>
        <item x="682"/>
        <item x="246"/>
        <item x="247"/>
        <item x="586"/>
        <item x="248"/>
        <item x="587"/>
        <item x="249"/>
        <item x="250"/>
        <item x="251"/>
        <item x="745"/>
        <item x="252"/>
        <item x="253"/>
        <item x="746"/>
        <item x="747"/>
        <item x="588"/>
        <item x="254"/>
        <item x="589"/>
        <item x="255"/>
        <item x="256"/>
        <item x="257"/>
        <item x="258"/>
        <item x="259"/>
        <item x="260"/>
        <item x="261"/>
        <item x="262"/>
        <item x="683"/>
        <item x="684"/>
        <item x="590"/>
        <item x="263"/>
        <item x="5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748"/>
        <item x="592"/>
        <item x="593"/>
        <item x="279"/>
        <item x="594"/>
        <item x="280"/>
        <item x="281"/>
        <item x="282"/>
        <item x="595"/>
        <item x="283"/>
        <item x="284"/>
        <item x="685"/>
        <item x="596"/>
        <item x="285"/>
        <item x="286"/>
        <item x="287"/>
        <item x="288"/>
        <item x="289"/>
        <item x="290"/>
        <item x="749"/>
        <item x="291"/>
        <item x="292"/>
        <item x="686"/>
        <item x="293"/>
        <item x="687"/>
        <item x="597"/>
        <item x="598"/>
        <item x="294"/>
        <item x="688"/>
        <item x="295"/>
        <item x="296"/>
        <item x="297"/>
        <item x="689"/>
        <item x="298"/>
        <item x="299"/>
        <item x="300"/>
        <item x="690"/>
        <item x="301"/>
        <item x="302"/>
        <item x="303"/>
        <item x="599"/>
        <item x="304"/>
        <item x="305"/>
        <item x="306"/>
        <item x="600"/>
        <item x="307"/>
        <item x="601"/>
        <item x="308"/>
        <item x="691"/>
        <item x="309"/>
        <item x="602"/>
        <item x="310"/>
        <item x="311"/>
        <item x="692"/>
        <item x="603"/>
        <item x="693"/>
        <item x="604"/>
        <item x="312"/>
        <item x="313"/>
        <item x="314"/>
        <item x="315"/>
        <item x="605"/>
        <item x="316"/>
        <item x="317"/>
        <item x="318"/>
        <item x="319"/>
        <item x="320"/>
        <item x="321"/>
        <item x="322"/>
        <item x="323"/>
        <item x="750"/>
        <item x="324"/>
        <item x="325"/>
        <item x="694"/>
        <item x="326"/>
        <item x="327"/>
        <item x="328"/>
        <item x="695"/>
        <item x="606"/>
        <item x="607"/>
        <item x="329"/>
        <item x="608"/>
        <item x="609"/>
        <item x="330"/>
        <item x="331"/>
        <item x="332"/>
        <item x="333"/>
        <item x="334"/>
        <item x="696"/>
        <item x="335"/>
        <item x="336"/>
        <item x="610"/>
        <item x="611"/>
        <item x="337"/>
        <item x="697"/>
        <item x="338"/>
        <item x="339"/>
        <item x="612"/>
        <item x="340"/>
        <item x="341"/>
        <item x="342"/>
        <item x="343"/>
        <item x="613"/>
        <item x="344"/>
        <item x="345"/>
        <item x="614"/>
        <item x="615"/>
        <item x="751"/>
        <item x="616"/>
        <item x="346"/>
        <item x="347"/>
        <item x="348"/>
        <item x="349"/>
        <item x="617"/>
        <item x="350"/>
        <item x="351"/>
        <item x="352"/>
        <item x="353"/>
        <item x="698"/>
        <item x="354"/>
        <item x="355"/>
        <item x="699"/>
        <item x="618"/>
        <item x="356"/>
        <item x="357"/>
        <item x="358"/>
        <item x="359"/>
        <item x="360"/>
        <item x="619"/>
        <item x="361"/>
        <item x="362"/>
        <item x="363"/>
        <item x="752"/>
        <item x="620"/>
        <item x="364"/>
        <item x="365"/>
        <item x="700"/>
        <item x="366"/>
        <item x="701"/>
        <item x="367"/>
        <item x="702"/>
        <item x="368"/>
        <item x="369"/>
        <item x="370"/>
        <item x="371"/>
        <item x="372"/>
        <item x="373"/>
        <item x="374"/>
        <item x="621"/>
        <item x="703"/>
        <item x="375"/>
        <item x="622"/>
        <item x="623"/>
        <item x="376"/>
        <item x="753"/>
        <item x="377"/>
        <item x="624"/>
        <item x="378"/>
        <item x="754"/>
        <item x="379"/>
        <item x="380"/>
        <item x="381"/>
        <item x="382"/>
        <item x="383"/>
        <item x="384"/>
        <item x="385"/>
        <item x="386"/>
        <item x="704"/>
        <item x="387"/>
        <item x="388"/>
        <item x="389"/>
        <item x="705"/>
        <item x="390"/>
        <item x="391"/>
        <item x="392"/>
        <item x="625"/>
        <item x="393"/>
        <item x="394"/>
        <item x="626"/>
        <item x="706"/>
        <item x="395"/>
        <item x="396"/>
        <item x="627"/>
        <item x="397"/>
        <item x="628"/>
        <item x="398"/>
        <item x="399"/>
        <item x="400"/>
        <item x="401"/>
        <item x="707"/>
        <item x="402"/>
        <item x="403"/>
        <item x="404"/>
        <item x="405"/>
        <item x="406"/>
        <item x="407"/>
        <item x="708"/>
        <item x="408"/>
        <item x="409"/>
        <item x="410"/>
        <item x="709"/>
        <item x="755"/>
        <item x="629"/>
        <item x="411"/>
        <item x="412"/>
        <item x="413"/>
        <item x="710"/>
        <item x="414"/>
        <item x="415"/>
        <item x="416"/>
        <item x="417"/>
        <item x="418"/>
        <item x="419"/>
        <item x="630"/>
        <item x="420"/>
        <item x="631"/>
        <item x="421"/>
        <item x="632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711"/>
        <item x="434"/>
        <item x="435"/>
        <item x="756"/>
        <item x="757"/>
        <item x="436"/>
        <item x="437"/>
        <item x="438"/>
        <item x="439"/>
        <item x="712"/>
        <item x="440"/>
        <item x="713"/>
        <item x="633"/>
        <item x="441"/>
        <item x="442"/>
        <item x="443"/>
        <item x="714"/>
        <item x="444"/>
        <item x="634"/>
        <item x="758"/>
        <item x="445"/>
        <item x="715"/>
        <item x="446"/>
        <item x="447"/>
        <item x="759"/>
        <item x="448"/>
        <item x="635"/>
        <item x="449"/>
        <item x="450"/>
        <item x="451"/>
        <item x="452"/>
        <item x="716"/>
        <item x="453"/>
        <item x="717"/>
        <item x="718"/>
        <item x="454"/>
        <item x="455"/>
        <item x="456"/>
        <item x="636"/>
        <item x="637"/>
        <item x="719"/>
        <item x="638"/>
        <item x="720"/>
        <item x="457"/>
        <item x="458"/>
        <item x="639"/>
        <item x="459"/>
        <item x="460"/>
        <item x="461"/>
        <item x="462"/>
        <item x="721"/>
        <item x="463"/>
        <item x="640"/>
        <item x="760"/>
        <item x="722"/>
        <item x="464"/>
        <item x="465"/>
        <item x="641"/>
        <item x="466"/>
        <item x="467"/>
        <item x="468"/>
        <item x="469"/>
        <item x="470"/>
        <item x="471"/>
        <item x="472"/>
        <item x="473"/>
        <item x="723"/>
        <item x="474"/>
        <item x="642"/>
        <item x="475"/>
        <item x="724"/>
        <item x="476"/>
        <item x="477"/>
        <item x="478"/>
        <item x="725"/>
        <item x="479"/>
        <item x="480"/>
        <item x="481"/>
        <item x="643"/>
        <item x="726"/>
        <item x="482"/>
        <item x="483"/>
        <item x="484"/>
        <item x="485"/>
        <item x="486"/>
        <item x="487"/>
        <item x="488"/>
        <item x="489"/>
        <item x="490"/>
        <item x="727"/>
        <item x="491"/>
        <item x="492"/>
        <item x="493"/>
        <item x="494"/>
        <item x="495"/>
        <item x="496"/>
        <item x="497"/>
        <item x="498"/>
        <item x="728"/>
        <item x="499"/>
        <item x="500"/>
        <item x="501"/>
        <item x="729"/>
        <item x="502"/>
        <item x="503"/>
        <item x="644"/>
        <item x="504"/>
        <item x="505"/>
        <item x="506"/>
        <item x="507"/>
        <item x="730"/>
        <item x="508"/>
        <item x="509"/>
        <item x="510"/>
        <item x="645"/>
        <item x="761"/>
        <item x="511"/>
        <item x="512"/>
        <item x="513"/>
        <item x="514"/>
        <item x="762"/>
        <item x="646"/>
        <item x="647"/>
        <item x="515"/>
        <item x="516"/>
        <item x="517"/>
        <item x="648"/>
        <item x="518"/>
        <item x="519"/>
        <item x="520"/>
        <item x="521"/>
        <item x="649"/>
        <item x="763"/>
        <item x="764"/>
        <item x="731"/>
        <item x="650"/>
        <item x="522"/>
        <item x="732"/>
        <item x="765"/>
        <item x="523"/>
        <item x="524"/>
        <item x="525"/>
        <item x="526"/>
        <item x="527"/>
        <item x="733"/>
        <item x="651"/>
        <item x="528"/>
        <item x="529"/>
        <item x="530"/>
        <item x="766"/>
        <item x="531"/>
        <item t="default"/>
      </items>
    </pivotField>
    <pivotField compact="0" outline="0" subtotalTop="0" showAll="0" includeNewItemsInFilter="1">
      <items count="606">
        <item x="299"/>
        <item x="204"/>
        <item x="275"/>
        <item x="69"/>
        <item x="473"/>
        <item x="119"/>
        <item x="68"/>
        <item x="536"/>
        <item x="489"/>
        <item x="58"/>
        <item x="164"/>
        <item x="563"/>
        <item x="492"/>
        <item x="149"/>
        <item x="211"/>
        <item x="600"/>
        <item x="158"/>
        <item x="387"/>
        <item x="267"/>
        <item x="572"/>
        <item x="187"/>
        <item x="367"/>
        <item x="471"/>
        <item x="159"/>
        <item x="343"/>
        <item x="326"/>
        <item x="544"/>
        <item x="442"/>
        <item x="167"/>
        <item x="96"/>
        <item x="476"/>
        <item x="362"/>
        <item x="242"/>
        <item x="137"/>
        <item x="493"/>
        <item x="282"/>
        <item x="86"/>
        <item x="97"/>
        <item x="176"/>
        <item x="446"/>
        <item x="421"/>
        <item x="390"/>
        <item x="11"/>
        <item x="520"/>
        <item x="350"/>
        <item x="155"/>
        <item x="197"/>
        <item x="150"/>
        <item x="355"/>
        <item x="84"/>
        <item x="321"/>
        <item x="12"/>
        <item x="273"/>
        <item x="255"/>
        <item x="270"/>
        <item x="115"/>
        <item x="501"/>
        <item x="593"/>
        <item x="114"/>
        <item x="288"/>
        <item x="73"/>
        <item x="10"/>
        <item x="552"/>
        <item x="457"/>
        <item x="322"/>
        <item x="55"/>
        <item x="525"/>
        <item x="188"/>
        <item x="66"/>
        <item x="363"/>
        <item x="578"/>
        <item x="453"/>
        <item x="74"/>
        <item x="45"/>
        <item x="514"/>
        <item x="311"/>
        <item x="292"/>
        <item x="506"/>
        <item x="287"/>
        <item x="24"/>
        <item x="595"/>
        <item x="87"/>
        <item x="249"/>
        <item x="178"/>
        <item x="210"/>
        <item x="18"/>
        <item x="76"/>
        <item x="484"/>
        <item x="125"/>
        <item x="357"/>
        <item x="100"/>
        <item x="36"/>
        <item x="440"/>
        <item x="580"/>
        <item x="424"/>
        <item x="329"/>
        <item x="375"/>
        <item x="302"/>
        <item x="116"/>
        <item x="168"/>
        <item x="92"/>
        <item x="373"/>
        <item x="156"/>
        <item x="207"/>
        <item x="98"/>
        <item x="296"/>
        <item x="308"/>
        <item x="81"/>
        <item x="468"/>
        <item x="353"/>
        <item x="161"/>
        <item x="344"/>
        <item x="263"/>
        <item x="67"/>
        <item x="324"/>
        <item x="500"/>
        <item x="494"/>
        <item x="102"/>
        <item x="229"/>
        <item x="297"/>
        <item x="135"/>
        <item x="532"/>
        <item x="569"/>
        <item x="382"/>
        <item x="437"/>
        <item x="594"/>
        <item x="314"/>
        <item x="466"/>
        <item x="392"/>
        <item x="462"/>
        <item x="212"/>
        <item x="328"/>
        <item x="130"/>
        <item x="265"/>
        <item x="497"/>
        <item x="361"/>
        <item x="90"/>
        <item x="37"/>
        <item x="16"/>
        <item x="546"/>
        <item x="305"/>
        <item x="562"/>
        <item x="469"/>
        <item x="136"/>
        <item x="216"/>
        <item x="131"/>
        <item x="286"/>
        <item x="519"/>
        <item x="320"/>
        <item x="368"/>
        <item x="316"/>
        <item x="348"/>
        <item x="109"/>
        <item x="301"/>
        <item x="266"/>
        <item x="438"/>
        <item x="333"/>
        <item x="107"/>
        <item x="170"/>
        <item x="422"/>
        <item x="214"/>
        <item x="389"/>
        <item x="122"/>
        <item x="480"/>
        <item x="459"/>
        <item x="400"/>
        <item x="479"/>
        <item x="233"/>
        <item x="512"/>
        <item x="522"/>
        <item x="17"/>
        <item x="82"/>
        <item x="558"/>
        <item x="537"/>
        <item x="300"/>
        <item x="408"/>
        <item x="295"/>
        <item x="13"/>
        <item x="65"/>
        <item x="417"/>
        <item x="63"/>
        <item x="293"/>
        <item x="541"/>
        <item x="503"/>
        <item x="406"/>
        <item x="172"/>
        <item x="38"/>
        <item x="200"/>
        <item x="193"/>
        <item x="317"/>
        <item x="47"/>
        <item x="239"/>
        <item x="530"/>
        <item x="42"/>
        <item x="423"/>
        <item x="356"/>
        <item x="413"/>
        <item x="318"/>
        <item x="523"/>
        <item x="245"/>
        <item x="307"/>
        <item x="598"/>
        <item x="533"/>
        <item x="23"/>
        <item x="483"/>
        <item x="140"/>
        <item x="448"/>
        <item x="337"/>
        <item x="124"/>
        <item x="8"/>
        <item x="217"/>
        <item x="379"/>
        <item x="306"/>
        <item x="5"/>
        <item x="262"/>
        <item x="395"/>
        <item x="221"/>
        <item x="470"/>
        <item x="566"/>
        <item x="103"/>
        <item x="257"/>
        <item x="111"/>
        <item x="174"/>
        <item x="99"/>
        <item x="258"/>
        <item x="132"/>
        <item x="460"/>
        <item x="49"/>
        <item x="360"/>
        <item x="436"/>
        <item x="209"/>
        <item x="112"/>
        <item x="371"/>
        <item x="490"/>
        <item x="281"/>
        <item x="236"/>
        <item x="488"/>
        <item x="443"/>
        <item x="332"/>
        <item x="177"/>
        <item x="573"/>
        <item x="502"/>
        <item x="597"/>
        <item x="78"/>
        <item x="146"/>
        <item x="372"/>
        <item x="3"/>
        <item x="486"/>
        <item x="43"/>
        <item x="95"/>
        <item x="403"/>
        <item x="550"/>
        <item x="481"/>
        <item x="198"/>
        <item x="487"/>
        <item x="237"/>
        <item x="101"/>
        <item x="539"/>
        <item x="561"/>
        <item x="248"/>
        <item x="53"/>
        <item x="91"/>
        <item x="401"/>
        <item x="498"/>
        <item x="147"/>
        <item x="601"/>
        <item x="331"/>
        <item x="376"/>
        <item x="330"/>
        <item x="195"/>
        <item x="414"/>
        <item x="547"/>
        <item x="575"/>
        <item x="129"/>
        <item x="1"/>
        <item x="342"/>
        <item x="228"/>
        <item x="133"/>
        <item x="303"/>
        <item x="208"/>
        <item x="75"/>
        <item x="452"/>
        <item x="169"/>
        <item x="83"/>
        <item x="64"/>
        <item x="70"/>
        <item x="527"/>
        <item x="40"/>
        <item x="304"/>
        <item x="540"/>
        <item x="416"/>
        <item x="472"/>
        <item x="143"/>
        <item x="418"/>
        <item x="565"/>
        <item x="280"/>
        <item x="444"/>
        <item x="144"/>
        <item x="450"/>
        <item x="108"/>
        <item x="203"/>
        <item x="171"/>
        <item x="157"/>
        <item x="518"/>
        <item x="62"/>
        <item x="340"/>
        <item x="319"/>
        <item x="28"/>
        <item x="284"/>
        <item x="50"/>
        <item x="80"/>
        <item x="186"/>
        <item x="599"/>
        <item x="184"/>
        <item x="584"/>
        <item x="586"/>
        <item x="183"/>
        <item x="499"/>
        <item x="104"/>
        <item x="0"/>
        <item x="278"/>
        <item x="85"/>
        <item x="126"/>
        <item x="139"/>
        <item x="106"/>
        <item x="26"/>
        <item x="564"/>
        <item x="39"/>
        <item x="141"/>
        <item x="189"/>
        <item x="388"/>
        <item x="585"/>
        <item x="234"/>
        <item x="538"/>
        <item x="213"/>
        <item x="22"/>
        <item x="27"/>
        <item x="491"/>
        <item x="247"/>
        <item x="509"/>
        <item x="510"/>
        <item x="551"/>
        <item x="588"/>
        <item x="117"/>
        <item x="402"/>
        <item x="323"/>
        <item x="202"/>
        <item x="61"/>
        <item x="517"/>
        <item x="430"/>
        <item x="194"/>
        <item x="256"/>
        <item x="14"/>
        <item x="325"/>
        <item x="206"/>
        <item x="93"/>
        <item x="441"/>
        <item x="591"/>
        <item x="513"/>
        <item x="230"/>
        <item x="51"/>
        <item x="370"/>
        <item x="439"/>
        <item x="455"/>
        <item x="298"/>
        <item x="309"/>
        <item x="181"/>
        <item x="535"/>
        <item x="478"/>
        <item x="359"/>
        <item x="507"/>
        <item x="261"/>
        <item x="260"/>
        <item x="449"/>
        <item x="264"/>
        <item x="199"/>
        <item x="397"/>
        <item x="238"/>
        <item x="420"/>
        <item x="312"/>
        <item x="19"/>
        <item x="30"/>
        <item x="377"/>
        <item x="163"/>
        <item x="138"/>
        <item x="383"/>
        <item x="54"/>
        <item x="290"/>
        <item x="458"/>
        <item x="272"/>
        <item x="72"/>
        <item x="548"/>
        <item x="529"/>
        <item x="482"/>
        <item x="386"/>
        <item x="526"/>
        <item x="4"/>
        <item x="398"/>
        <item x="445"/>
        <item x="48"/>
        <item x="6"/>
        <item x="231"/>
        <item x="44"/>
        <item x="235"/>
        <item x="9"/>
        <item x="534"/>
        <item x="259"/>
        <item x="166"/>
        <item x="428"/>
        <item x="246"/>
        <item x="334"/>
        <item x="528"/>
        <item x="88"/>
        <item x="555"/>
        <item x="46"/>
        <item x="232"/>
        <item x="327"/>
        <item x="412"/>
        <item x="277"/>
        <item x="310"/>
        <item x="407"/>
        <item x="179"/>
        <item x="582"/>
        <item x="405"/>
        <item x="15"/>
        <item x="283"/>
        <item x="268"/>
        <item x="515"/>
        <item x="346"/>
        <item x="574"/>
        <item x="590"/>
        <item x="433"/>
        <item x="110"/>
        <item x="226"/>
        <item x="429"/>
        <item x="435"/>
        <item x="384"/>
        <item x="79"/>
        <item x="77"/>
        <item x="105"/>
        <item x="227"/>
        <item x="461"/>
        <item x="549"/>
        <item x="313"/>
        <item x="218"/>
        <item x="162"/>
        <item x="21"/>
        <item x="291"/>
        <item x="365"/>
        <item x="577"/>
        <item x="338"/>
        <item x="568"/>
        <item x="57"/>
        <item x="154"/>
        <item x="374"/>
        <item x="244"/>
        <item x="196"/>
        <item x="250"/>
        <item x="516"/>
        <item x="56"/>
        <item x="351"/>
        <item x="496"/>
        <item x="240"/>
        <item x="35"/>
        <item x="71"/>
        <item x="505"/>
        <item x="524"/>
        <item x="113"/>
        <item x="511"/>
        <item x="464"/>
        <item x="399"/>
        <item x="120"/>
        <item x="431"/>
        <item x="451"/>
        <item x="432"/>
        <item x="29"/>
        <item x="380"/>
        <item x="215"/>
        <item x="123"/>
        <item x="427"/>
        <item x="59"/>
        <item x="364"/>
        <item x="347"/>
        <item x="560"/>
        <item x="148"/>
        <item x="415"/>
        <item x="134"/>
        <item x="475"/>
        <item x="477"/>
        <item x="180"/>
        <item x="191"/>
        <item x="253"/>
        <item x="60"/>
        <item x="33"/>
        <item x="378"/>
        <item x="2"/>
        <item x="336"/>
        <item x="571"/>
        <item x="354"/>
        <item x="467"/>
        <item x="570"/>
        <item x="192"/>
        <item x="589"/>
        <item x="396"/>
        <item x="604"/>
        <item x="128"/>
        <item x="391"/>
        <item x="485"/>
        <item x="545"/>
        <item x="152"/>
        <item x="52"/>
        <item x="251"/>
        <item x="294"/>
        <item x="25"/>
        <item x="352"/>
        <item x="474"/>
        <item x="425"/>
        <item x="358"/>
        <item x="394"/>
        <item x="225"/>
        <item x="341"/>
        <item x="269"/>
        <item x="222"/>
        <item x="366"/>
        <item x="426"/>
        <item x="243"/>
        <item x="201"/>
        <item x="592"/>
        <item x="465"/>
        <item x="121"/>
        <item x="567"/>
        <item x="409"/>
        <item x="41"/>
        <item x="190"/>
        <item x="581"/>
        <item x="271"/>
        <item x="419"/>
        <item x="160"/>
        <item x="349"/>
        <item x="94"/>
        <item x="7"/>
        <item x="531"/>
        <item x="463"/>
        <item x="173"/>
        <item x="339"/>
        <item x="404"/>
        <item x="447"/>
        <item x="220"/>
        <item x="274"/>
        <item x="31"/>
        <item x="410"/>
        <item x="602"/>
        <item x="521"/>
        <item x="223"/>
        <item x="553"/>
        <item x="559"/>
        <item x="504"/>
        <item x="153"/>
        <item x="508"/>
        <item x="254"/>
        <item x="279"/>
        <item x="587"/>
        <item x="315"/>
        <item x="219"/>
        <item x="345"/>
        <item x="142"/>
        <item x="456"/>
        <item x="335"/>
        <item x="583"/>
        <item x="556"/>
        <item x="127"/>
        <item x="276"/>
        <item x="554"/>
        <item x="411"/>
        <item x="369"/>
        <item x="434"/>
        <item x="151"/>
        <item x="603"/>
        <item x="145"/>
        <item x="557"/>
        <item x="165"/>
        <item x="185"/>
        <item x="576"/>
        <item x="182"/>
        <item x="285"/>
        <item x="20"/>
        <item x="579"/>
        <item x="289"/>
        <item x="224"/>
        <item x="118"/>
        <item x="495"/>
        <item x="175"/>
        <item x="596"/>
        <item x="543"/>
        <item x="205"/>
        <item x="34"/>
        <item x="381"/>
        <item x="241"/>
        <item x="542"/>
        <item x="89"/>
        <item x="385"/>
        <item x="252"/>
        <item x="32"/>
        <item x="393"/>
        <item x="454"/>
        <item t="default"/>
      </items>
    </pivotField>
    <pivotField compact="0" outline="0" subtotalTop="0" showAll="0" includeNewItemsInFilter="1">
      <items count="7">
        <item x="2"/>
        <item x="1"/>
        <item x="3"/>
        <item x="4"/>
        <item x="0"/>
        <item x="5"/>
        <item t="default"/>
      </items>
    </pivotField>
    <pivotField compact="0" outline="0" subtotalTop="0" showAll="0" includeNewItemsInFilter="1"/>
    <pivotField axis="axisPage"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axis="axisRow" compact="0" outline="0" subtotalTop="0" showAll="0" includeNewItemsInFilter="1">
      <items count="12">
        <item x="2"/>
        <item x="6"/>
        <item x="9"/>
        <item x="10"/>
        <item x="5"/>
        <item x="4"/>
        <item x="7"/>
        <item x="0"/>
        <item x="1"/>
        <item x="3"/>
        <item x="8"/>
        <item t="default"/>
      </items>
    </pivotField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64">
        <item x="54"/>
        <item x="152"/>
        <item x="6"/>
        <item x="14"/>
        <item x="99"/>
        <item x="0"/>
        <item x="80"/>
        <item x="114"/>
        <item x="76"/>
        <item x="120"/>
        <item x="37"/>
        <item x="24"/>
        <item x="125"/>
        <item x="129"/>
        <item x="115"/>
        <item x="121"/>
        <item x="38"/>
        <item x="130"/>
        <item x="46"/>
        <item x="79"/>
        <item x="94"/>
        <item x="86"/>
        <item x="100"/>
        <item x="9"/>
        <item x="12"/>
        <item x="7"/>
        <item x="97"/>
        <item x="21"/>
        <item x="18"/>
        <item x="75"/>
        <item x="51"/>
        <item x="19"/>
        <item x="159"/>
        <item x="43"/>
        <item x="117"/>
        <item x="122"/>
        <item x="15"/>
        <item x="110"/>
        <item x="83"/>
        <item x="123"/>
        <item x="16"/>
        <item x="160"/>
        <item x="103"/>
        <item x="93"/>
        <item x="70"/>
        <item x="128"/>
        <item x="45"/>
        <item x="50"/>
        <item x="102"/>
        <item x="26"/>
        <item x="71"/>
        <item x="161"/>
        <item x="145"/>
        <item x="65"/>
        <item x="56"/>
        <item x="10"/>
        <item x="58"/>
        <item x="28"/>
        <item x="41"/>
        <item x="59"/>
        <item x="84"/>
        <item x="105"/>
        <item x="11"/>
        <item x="92"/>
        <item x="66"/>
        <item x="60"/>
        <item x="68"/>
        <item x="98"/>
        <item x="34"/>
        <item x="91"/>
        <item x="106"/>
        <item x="4"/>
        <item x="35"/>
        <item x="116"/>
        <item x="131"/>
        <item x="32"/>
        <item x="119"/>
        <item x="109"/>
        <item x="30"/>
        <item x="33"/>
        <item x="127"/>
        <item x="96"/>
        <item x="72"/>
        <item x="157"/>
        <item x="89"/>
        <item x="74"/>
        <item x="69"/>
        <item x="85"/>
        <item x="44"/>
        <item x="49"/>
        <item x="36"/>
        <item x="61"/>
        <item x="143"/>
        <item x="53"/>
        <item x="48"/>
        <item x="158"/>
        <item x="64"/>
        <item x="42"/>
        <item x="22"/>
        <item x="111"/>
        <item x="1"/>
        <item x="107"/>
        <item x="153"/>
        <item x="133"/>
        <item x="154"/>
        <item x="126"/>
        <item x="151"/>
        <item x="155"/>
        <item x="29"/>
        <item x="118"/>
        <item x="81"/>
        <item x="31"/>
        <item x="104"/>
        <item x="13"/>
        <item x="156"/>
        <item x="95"/>
        <item x="82"/>
        <item x="147"/>
        <item x="63"/>
        <item x="113"/>
        <item x="73"/>
        <item x="101"/>
        <item x="3"/>
        <item x="90"/>
        <item x="17"/>
        <item x="67"/>
        <item x="149"/>
        <item x="146"/>
        <item x="88"/>
        <item x="40"/>
        <item x="150"/>
        <item x="112"/>
        <item x="139"/>
        <item x="134"/>
        <item x="108"/>
        <item x="2"/>
        <item x="39"/>
        <item x="135"/>
        <item x="140"/>
        <item x="8"/>
        <item x="162"/>
        <item x="132"/>
        <item x="5"/>
        <item x="124"/>
        <item x="148"/>
        <item x="144"/>
        <item x="57"/>
        <item x="87"/>
        <item x="142"/>
        <item x="138"/>
        <item x="136"/>
        <item x="141"/>
        <item x="25"/>
        <item x="27"/>
        <item x="23"/>
        <item x="137"/>
        <item x="62"/>
        <item x="78"/>
        <item x="20"/>
        <item x="47"/>
        <item x="77"/>
        <item x="55"/>
        <item x="52"/>
        <item t="default"/>
      </items>
    </pivotField>
    <pivotField compact="0" outline="0" subtotalTop="0" showAll="0" includeNewItemsInFilter="1">
      <items count="4">
        <item x="2"/>
        <item x="1"/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699">
        <item x="536"/>
        <item x="5"/>
        <item x="428"/>
        <item x="189"/>
        <item x="282"/>
        <item x="459"/>
        <item x="359"/>
        <item x="497"/>
        <item x="449"/>
        <item x="138"/>
        <item x="215"/>
        <item x="119"/>
        <item x="218"/>
        <item x="671"/>
        <item x="498"/>
        <item x="613"/>
        <item x="208"/>
        <item x="563"/>
        <item x="609"/>
        <item x="57"/>
        <item x="335"/>
        <item x="345"/>
        <item x="217"/>
        <item x="301"/>
        <item x="127"/>
        <item x="284"/>
        <item x="13"/>
        <item x="500"/>
        <item x="508"/>
        <item x="372"/>
        <item x="111"/>
        <item x="263"/>
        <item x="539"/>
        <item x="629"/>
        <item x="69"/>
        <item x="315"/>
        <item x="51"/>
        <item x="195"/>
        <item x="680"/>
        <item x="331"/>
        <item x="385"/>
        <item x="236"/>
        <item x="576"/>
        <item x="446"/>
        <item x="543"/>
        <item x="152"/>
        <item x="149"/>
        <item x="574"/>
        <item x="235"/>
        <item x="584"/>
        <item x="644"/>
        <item x="247"/>
        <item x="578"/>
        <item x="511"/>
        <item x="382"/>
        <item x="597"/>
        <item x="288"/>
        <item x="75"/>
        <item x="577"/>
        <item x="548"/>
        <item x="317"/>
        <item x="696"/>
        <item x="455"/>
        <item x="185"/>
        <item x="4"/>
        <item x="322"/>
        <item x="122"/>
        <item x="507"/>
        <item x="292"/>
        <item x="205"/>
        <item x="505"/>
        <item x="560"/>
        <item x="117"/>
        <item x="233"/>
        <item x="414"/>
        <item x="274"/>
        <item x="593"/>
        <item x="526"/>
        <item x="545"/>
        <item x="683"/>
        <item x="568"/>
        <item x="474"/>
        <item x="295"/>
        <item x="651"/>
        <item x="74"/>
        <item x="160"/>
        <item x="196"/>
        <item x="141"/>
        <item x="340"/>
        <item x="64"/>
        <item x="489"/>
        <item x="110"/>
        <item x="567"/>
        <item x="167"/>
        <item x="628"/>
        <item x="687"/>
        <item x="558"/>
        <item x="15"/>
        <item x="484"/>
        <item x="646"/>
        <item x="675"/>
        <item x="125"/>
        <item x="180"/>
        <item x="302"/>
        <item x="395"/>
        <item x="78"/>
        <item x="131"/>
        <item x="336"/>
        <item x="47"/>
        <item x="463"/>
        <item x="326"/>
        <item x="29"/>
        <item x="258"/>
        <item x="113"/>
        <item x="142"/>
        <item x="327"/>
        <item x="438"/>
        <item x="470"/>
        <item x="640"/>
        <item x="447"/>
        <item x="212"/>
        <item x="294"/>
        <item x="557"/>
        <item x="453"/>
        <item x="465"/>
        <item x="369"/>
        <item x="296"/>
        <item x="495"/>
        <item x="289"/>
        <item x="265"/>
        <item x="540"/>
        <item x="693"/>
        <item x="366"/>
        <item x="120"/>
        <item x="588"/>
        <item x="54"/>
        <item x="527"/>
        <item x="313"/>
        <item x="519"/>
        <item x="165"/>
        <item x="134"/>
        <item x="198"/>
        <item x="243"/>
        <item x="341"/>
        <item x="254"/>
        <item x="311"/>
        <item x="203"/>
        <item x="123"/>
        <item x="214"/>
        <item x="267"/>
        <item x="210"/>
        <item x="76"/>
        <item x="594"/>
        <item x="135"/>
        <item x="118"/>
        <item x="346"/>
        <item x="275"/>
        <item x="379"/>
        <item x="82"/>
        <item x="155"/>
        <item x="197"/>
        <item x="686"/>
        <item x="695"/>
        <item x="1"/>
        <item x="368"/>
        <item x="467"/>
        <item x="24"/>
        <item x="223"/>
        <item x="246"/>
        <item x="41"/>
        <item x="66"/>
        <item x="524"/>
        <item x="360"/>
        <item x="679"/>
        <item x="448"/>
        <item x="553"/>
        <item x="164"/>
        <item x="104"/>
        <item x="332"/>
        <item x="556"/>
        <item x="190"/>
        <item x="85"/>
        <item x="156"/>
        <item x="272"/>
        <item x="220"/>
        <item x="669"/>
        <item x="52"/>
        <item x="663"/>
        <item x="102"/>
        <item x="521"/>
        <item x="9"/>
        <item x="405"/>
        <item x="191"/>
        <item x="599"/>
        <item x="585"/>
        <item x="241"/>
        <item x="38"/>
        <item x="376"/>
        <item x="71"/>
        <item x="462"/>
        <item x="662"/>
        <item x="514"/>
        <item x="153"/>
        <item x="482"/>
        <item x="373"/>
        <item x="347"/>
        <item x="171"/>
        <item x="133"/>
        <item x="194"/>
        <item x="605"/>
        <item x="477"/>
        <item x="393"/>
        <item x="682"/>
        <item x="450"/>
        <item x="68"/>
        <item x="12"/>
        <item x="83"/>
        <item x="283"/>
        <item x="351"/>
        <item x="478"/>
        <item x="256"/>
        <item x="670"/>
        <item x="20"/>
        <item x="213"/>
        <item x="561"/>
        <item x="143"/>
        <item x="251"/>
        <item x="6"/>
        <item x="424"/>
        <item x="22"/>
        <item x="387"/>
        <item x="688"/>
        <item x="580"/>
        <item x="542"/>
        <item x="147"/>
        <item x="55"/>
        <item x="277"/>
        <item x="406"/>
        <item x="659"/>
        <item x="31"/>
        <item x="163"/>
        <item x="67"/>
        <item x="228"/>
        <item x="394"/>
        <item x="513"/>
        <item x="339"/>
        <item x="26"/>
        <item x="229"/>
        <item x="321"/>
        <item x="30"/>
        <item x="186"/>
        <item x="227"/>
        <item x="460"/>
        <item x="297"/>
        <item x="168"/>
        <item x="211"/>
        <item x="456"/>
        <item x="618"/>
        <item x="59"/>
        <item x="84"/>
        <item x="551"/>
        <item x="471"/>
        <item x="512"/>
        <item x="35"/>
        <item x="100"/>
        <item x="383"/>
        <item x="621"/>
        <item x="642"/>
        <item x="490"/>
        <item x="114"/>
        <item x="677"/>
        <item x="582"/>
        <item x="96"/>
        <item x="316"/>
        <item x="14"/>
        <item x="598"/>
        <item x="534"/>
        <item x="216"/>
        <item x="506"/>
        <item x="309"/>
        <item x="466"/>
        <item x="509"/>
        <item x="496"/>
        <item x="607"/>
        <item x="62"/>
        <item x="105"/>
        <item x="435"/>
        <item x="589"/>
        <item x="28"/>
        <item x="638"/>
        <item x="392"/>
        <item x="648"/>
        <item x="101"/>
        <item x="630"/>
        <item x="401"/>
        <item x="525"/>
        <item x="502"/>
        <item x="370"/>
        <item x="627"/>
        <item x="280"/>
        <item x="555"/>
        <item x="187"/>
        <item x="73"/>
        <item x="178"/>
        <item x="237"/>
        <item x="626"/>
        <item x="559"/>
        <item x="266"/>
        <item x="93"/>
        <item x="418"/>
        <item x="169"/>
        <item x="323"/>
        <item x="664"/>
        <item x="635"/>
        <item x="86"/>
        <item x="103"/>
        <item x="32"/>
        <item x="248"/>
        <item x="493"/>
        <item x="684"/>
        <item x="604"/>
        <item x="154"/>
        <item x="109"/>
        <item x="337"/>
        <item x="440"/>
        <item x="80"/>
        <item x="148"/>
        <item x="399"/>
        <item x="601"/>
        <item x="99"/>
        <item x="361"/>
        <item x="221"/>
        <item x="625"/>
        <item x="306"/>
        <item x="184"/>
        <item x="352"/>
        <item x="312"/>
        <item x="151"/>
        <item x="363"/>
        <item x="445"/>
        <item x="173"/>
        <item x="396"/>
        <item x="2"/>
        <item x="333"/>
        <item x="53"/>
        <item x="653"/>
        <item x="581"/>
        <item x="364"/>
        <item x="389"/>
        <item x="676"/>
        <item x="130"/>
        <item x="673"/>
        <item x="242"/>
        <item x="107"/>
        <item x="290"/>
        <item x="16"/>
        <item x="324"/>
        <item x="412"/>
        <item x="70"/>
        <item x="291"/>
        <item x="192"/>
        <item x="380"/>
        <item x="554"/>
        <item x="129"/>
        <item x="244"/>
        <item x="433"/>
        <item x="201"/>
        <item x="697"/>
        <item x="565"/>
        <item x="18"/>
        <item x="402"/>
        <item x="537"/>
        <item x="252"/>
        <item x="354"/>
        <item x="614"/>
        <item x="271"/>
        <item x="566"/>
        <item x="40"/>
        <item x="92"/>
        <item x="616"/>
        <item x="422"/>
        <item x="549"/>
        <item x="299"/>
        <item x="423"/>
        <item x="162"/>
        <item x="468"/>
        <item x="128"/>
        <item x="619"/>
        <item x="516"/>
        <item x="46"/>
        <item x="426"/>
        <item x="444"/>
        <item x="443"/>
        <item x="655"/>
        <item x="334"/>
        <item x="225"/>
        <item x="552"/>
        <item x="193"/>
        <item x="240"/>
        <item x="388"/>
        <item x="139"/>
        <item x="23"/>
        <item x="550"/>
        <item x="570"/>
        <item x="571"/>
        <item x="48"/>
        <item x="144"/>
        <item x="573"/>
        <item x="349"/>
        <item x="492"/>
        <item x="517"/>
        <item x="434"/>
        <item x="106"/>
        <item x="575"/>
        <item x="681"/>
        <item x="528"/>
        <item x="72"/>
        <item x="181"/>
        <item x="587"/>
        <item x="273"/>
        <item x="307"/>
        <item x="487"/>
        <item x="520"/>
        <item x="483"/>
        <item x="691"/>
        <item x="34"/>
        <item x="564"/>
        <item x="689"/>
        <item x="19"/>
        <item x="159"/>
        <item x="464"/>
        <item x="260"/>
        <item x="166"/>
        <item x="375"/>
        <item x="278"/>
        <item x="623"/>
        <item x="350"/>
        <item x="199"/>
        <item x="305"/>
        <item x="617"/>
        <item x="499"/>
        <item x="329"/>
        <item x="81"/>
        <item x="318"/>
        <item x="469"/>
        <item x="21"/>
        <item x="257"/>
        <item x="63"/>
        <item x="357"/>
        <item x="3"/>
        <item x="328"/>
        <item x="535"/>
        <item x="88"/>
        <item x="660"/>
        <item x="204"/>
        <item x="206"/>
        <item x="238"/>
        <item x="384"/>
        <item x="231"/>
        <item x="475"/>
        <item x="314"/>
        <item x="674"/>
        <item x="177"/>
        <item x="416"/>
        <item x="172"/>
        <item x="200"/>
        <item x="121"/>
        <item x="622"/>
        <item x="132"/>
        <item x="658"/>
        <item x="33"/>
        <item x="690"/>
        <item x="276"/>
        <item x="77"/>
        <item x="657"/>
        <item x="145"/>
        <item x="179"/>
        <item x="183"/>
        <item x="230"/>
        <item x="330"/>
        <item x="678"/>
        <item x="579"/>
        <item x="39"/>
        <item x="419"/>
        <item x="639"/>
        <item x="591"/>
        <item x="530"/>
        <item x="472"/>
        <item x="25"/>
        <item x="518"/>
        <item x="219"/>
        <item x="624"/>
        <item x="60"/>
        <item x="353"/>
        <item x="503"/>
        <item x="420"/>
        <item x="269"/>
        <item x="161"/>
        <item x="649"/>
        <item x="473"/>
        <item x="304"/>
        <item x="647"/>
        <item x="544"/>
        <item x="300"/>
        <item x="480"/>
        <item x="115"/>
        <item x="356"/>
        <item x="325"/>
        <item x="94"/>
        <item x="486"/>
        <item x="595"/>
        <item x="342"/>
        <item x="408"/>
        <item x="36"/>
        <item x="97"/>
        <item x="694"/>
        <item x="611"/>
        <item x="397"/>
        <item x="44"/>
        <item x="232"/>
        <item x="436"/>
        <item x="407"/>
        <item x="95"/>
        <item x="529"/>
        <item x="602"/>
        <item x="494"/>
        <item x="645"/>
        <item x="430"/>
        <item x="308"/>
        <item x="547"/>
        <item x="250"/>
        <item x="367"/>
        <item x="362"/>
        <item x="249"/>
        <item x="452"/>
        <item x="615"/>
        <item x="150"/>
        <item x="348"/>
        <item x="222"/>
        <item x="261"/>
        <item x="124"/>
        <item x="425"/>
        <item x="239"/>
        <item x="224"/>
        <item x="176"/>
        <item x="641"/>
        <item x="158"/>
        <item x="27"/>
        <item x="442"/>
        <item x="590"/>
        <item x="182"/>
        <item x="61"/>
        <item x="56"/>
        <item x="398"/>
        <item x="488"/>
        <item x="281"/>
        <item x="415"/>
        <item x="390"/>
        <item x="116"/>
        <item x="523"/>
        <item x="338"/>
        <item x="600"/>
        <item x="485"/>
        <item x="650"/>
        <item x="504"/>
        <item x="303"/>
        <item x="343"/>
        <item x="226"/>
        <item x="136"/>
        <item x="270"/>
        <item x="43"/>
        <item x="410"/>
        <item x="479"/>
        <item x="91"/>
        <item x="413"/>
        <item x="157"/>
        <item x="170"/>
        <item x="10"/>
        <item x="264"/>
        <item x="427"/>
        <item x="656"/>
        <item x="666"/>
        <item x="391"/>
        <item x="50"/>
        <item x="439"/>
        <item x="665"/>
        <item x="90"/>
        <item x="586"/>
        <item x="188"/>
        <item x="262"/>
        <item x="636"/>
        <item x="126"/>
        <item x="45"/>
        <item x="378"/>
        <item x="692"/>
        <item x="633"/>
        <item x="358"/>
        <item x="37"/>
        <item x="255"/>
        <item x="491"/>
        <item x="140"/>
        <item x="404"/>
        <item x="0"/>
        <item x="583"/>
        <item x="259"/>
        <item x="344"/>
        <item x="403"/>
        <item x="608"/>
        <item x="174"/>
        <item x="451"/>
        <item x="386"/>
        <item x="234"/>
        <item x="371"/>
        <item x="643"/>
        <item x="202"/>
        <item x="603"/>
        <item x="432"/>
        <item x="668"/>
        <item x="421"/>
        <item x="431"/>
        <item x="546"/>
        <item x="429"/>
        <item x="454"/>
        <item x="476"/>
        <item x="285"/>
        <item x="634"/>
        <item x="137"/>
        <item x="42"/>
        <item x="441"/>
        <item x="569"/>
        <item x="533"/>
        <item x="374"/>
        <item x="319"/>
        <item x="501"/>
        <item x="672"/>
        <item x="661"/>
        <item x="409"/>
        <item x="654"/>
        <item x="279"/>
        <item x="596"/>
        <item x="209"/>
        <item x="381"/>
        <item x="7"/>
        <item x="538"/>
        <item x="365"/>
        <item x="11"/>
        <item x="207"/>
        <item x="293"/>
        <item x="146"/>
        <item x="411"/>
        <item x="541"/>
        <item x="592"/>
        <item x="8"/>
        <item x="112"/>
        <item x="632"/>
        <item x="287"/>
        <item x="652"/>
        <item x="562"/>
        <item x="531"/>
        <item x="65"/>
        <item x="17"/>
        <item x="87"/>
        <item x="245"/>
        <item x="612"/>
        <item x="437"/>
        <item x="572"/>
        <item x="631"/>
        <item x="481"/>
        <item x="637"/>
        <item x="49"/>
        <item x="417"/>
        <item x="515"/>
        <item x="457"/>
        <item x="532"/>
        <item x="89"/>
        <item x="298"/>
        <item x="377"/>
        <item x="320"/>
        <item x="685"/>
        <item x="310"/>
        <item x="522"/>
        <item x="268"/>
        <item x="253"/>
        <item x="510"/>
        <item x="175"/>
        <item x="606"/>
        <item x="58"/>
        <item x="108"/>
        <item x="458"/>
        <item x="286"/>
        <item x="620"/>
        <item x="667"/>
        <item x="79"/>
        <item x="400"/>
        <item x="610"/>
        <item x="461"/>
        <item x="98"/>
        <item x="355"/>
        <item t="default"/>
      </items>
    </pivotField>
    <pivotField compact="0" outline="0" subtotalTop="0" showAll="0" includeNewItemsInFilter="1"/>
    <pivotField compact="0" numFmtId="14" outline="0" subtotalTop="0" showAll="0" includeNewItemsInFilter="1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" hier="0"/>
  </pageFields>
  <dataFields count="1">
    <dataField name="Count of Sales" fld="4" subtotal="count" baseField="0" baseItem="0"/>
  </dataFields>
  <formats count="1">
    <format dxfId="0">
      <pivotArea dataOnly="0" labelOnly="1" outline="0" fieldPosition="0">
        <references count="1">
          <reference field="5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10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</pivotFields>
  <rowFields count="2">
    <field x="12"/>
    <field x="1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Count of Sales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3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36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2"/>
        <item x="1"/>
        <item x="0"/>
        <item x="3"/>
        <item t="default"/>
      </items>
    </pivotField>
    <pivotField axis="axisRow" compact="0" outline="0" subtotalTop="0" showAll="0" includeNewItemsInFilter="1">
      <items count="18">
        <item x="13"/>
        <item x="3"/>
        <item x="10"/>
        <item x="14"/>
        <item x="0"/>
        <item x="12"/>
        <item x="4"/>
        <item x="8"/>
        <item x="9"/>
        <item x="15"/>
        <item x="5"/>
        <item x="1"/>
        <item x="11"/>
        <item x="16"/>
        <item x="6"/>
        <item x="2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</pivotFields>
  <rowFields count="2">
    <field x="14"/>
    <field x="15"/>
  </rowFields>
  <rowItems count="32">
    <i>
      <x/>
      <x v="2"/>
    </i>
    <i r="1">
      <x v="3"/>
    </i>
    <i r="1">
      <x v="8"/>
    </i>
    <i r="1">
      <x v="15"/>
    </i>
    <i t="default">
      <x/>
    </i>
    <i>
      <x v="1"/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t="default">
      <x v="1"/>
    </i>
    <i>
      <x v="2"/>
      <x v="4"/>
    </i>
    <i r="1">
      <x v="5"/>
    </i>
    <i r="1">
      <x v="9"/>
    </i>
    <i r="1">
      <x v="16"/>
    </i>
    <i t="default">
      <x v="2"/>
    </i>
    <i>
      <x v="3"/>
      <x/>
    </i>
    <i r="1">
      <x v="1"/>
    </i>
    <i r="1">
      <x v="3"/>
    </i>
    <i r="1">
      <x v="4"/>
    </i>
    <i r="1">
      <x v="6"/>
    </i>
    <i r="1">
      <x v="9"/>
    </i>
    <i r="1">
      <x v="10"/>
    </i>
    <i r="1">
      <x v="11"/>
    </i>
    <i r="1">
      <x v="13"/>
    </i>
    <i r="1">
      <x v="14"/>
    </i>
    <i t="default">
      <x v="3"/>
    </i>
    <i t="grand">
      <x/>
    </i>
  </rowItems>
  <colItems count="1">
    <i/>
  </colItems>
  <dataFields count="1">
    <dataField name="Count of Sales" fld="4" subtotal="count" baseField="0" baseItem="0"/>
  </dataField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3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8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5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4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5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9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9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4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4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17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4">
        <item x="2"/>
        <item x="1"/>
        <item x="0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>
      <items count="5">
        <item x="2"/>
        <item x="0"/>
        <item x="3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699">
        <item x="536"/>
        <item x="5"/>
        <item x="428"/>
        <item x="189"/>
        <item x="282"/>
        <item x="459"/>
        <item x="359"/>
        <item x="497"/>
        <item x="449"/>
        <item x="138"/>
        <item x="215"/>
        <item x="119"/>
        <item x="218"/>
        <item x="671"/>
        <item x="498"/>
        <item x="613"/>
        <item x="208"/>
        <item x="563"/>
        <item x="609"/>
        <item x="57"/>
        <item x="335"/>
        <item x="345"/>
        <item x="217"/>
        <item x="301"/>
        <item x="127"/>
        <item x="284"/>
        <item x="13"/>
        <item x="500"/>
        <item x="508"/>
        <item x="372"/>
        <item x="111"/>
        <item x="263"/>
        <item x="539"/>
        <item x="629"/>
        <item x="69"/>
        <item x="315"/>
        <item x="51"/>
        <item x="195"/>
        <item x="680"/>
        <item x="331"/>
        <item x="385"/>
        <item x="236"/>
        <item x="576"/>
        <item x="446"/>
        <item x="543"/>
        <item x="152"/>
        <item x="149"/>
        <item x="574"/>
        <item x="235"/>
        <item x="584"/>
        <item x="644"/>
        <item x="247"/>
        <item x="578"/>
        <item x="511"/>
        <item x="382"/>
        <item x="597"/>
        <item x="288"/>
        <item x="75"/>
        <item x="577"/>
        <item x="548"/>
        <item x="317"/>
        <item x="696"/>
        <item x="455"/>
        <item x="185"/>
        <item x="4"/>
        <item x="322"/>
        <item x="122"/>
        <item x="507"/>
        <item x="292"/>
        <item x="205"/>
        <item x="505"/>
        <item x="560"/>
        <item x="117"/>
        <item x="233"/>
        <item x="414"/>
        <item x="274"/>
        <item x="593"/>
        <item x="526"/>
        <item x="545"/>
        <item x="683"/>
        <item x="568"/>
        <item x="474"/>
        <item x="295"/>
        <item x="651"/>
        <item x="74"/>
        <item x="160"/>
        <item x="196"/>
        <item x="141"/>
        <item x="340"/>
        <item x="64"/>
        <item x="489"/>
        <item x="110"/>
        <item x="567"/>
        <item x="167"/>
        <item x="628"/>
        <item x="687"/>
        <item x="558"/>
        <item x="15"/>
        <item x="484"/>
        <item x="646"/>
        <item x="675"/>
        <item x="125"/>
        <item x="180"/>
        <item x="302"/>
        <item x="395"/>
        <item x="78"/>
        <item x="131"/>
        <item x="336"/>
        <item x="47"/>
        <item x="463"/>
        <item x="326"/>
        <item x="29"/>
        <item x="258"/>
        <item x="113"/>
        <item x="142"/>
        <item x="327"/>
        <item x="438"/>
        <item x="470"/>
        <item x="640"/>
        <item x="447"/>
        <item x="212"/>
        <item x="294"/>
        <item x="557"/>
        <item x="453"/>
        <item x="465"/>
        <item x="369"/>
        <item x="296"/>
        <item x="495"/>
        <item x="289"/>
        <item x="265"/>
        <item x="540"/>
        <item x="693"/>
        <item x="366"/>
        <item x="120"/>
        <item x="588"/>
        <item x="54"/>
        <item x="527"/>
        <item x="313"/>
        <item x="519"/>
        <item x="165"/>
        <item x="134"/>
        <item x="198"/>
        <item x="243"/>
        <item x="341"/>
        <item x="254"/>
        <item x="311"/>
        <item x="203"/>
        <item x="123"/>
        <item x="214"/>
        <item x="267"/>
        <item x="210"/>
        <item x="76"/>
        <item x="594"/>
        <item x="135"/>
        <item x="118"/>
        <item x="346"/>
        <item x="275"/>
        <item x="379"/>
        <item x="82"/>
        <item x="155"/>
        <item x="197"/>
        <item x="686"/>
        <item x="695"/>
        <item x="1"/>
        <item x="368"/>
        <item x="467"/>
        <item x="24"/>
        <item x="223"/>
        <item x="246"/>
        <item x="41"/>
        <item x="66"/>
        <item x="524"/>
        <item x="360"/>
        <item x="679"/>
        <item x="448"/>
        <item x="553"/>
        <item x="164"/>
        <item x="104"/>
        <item x="332"/>
        <item x="556"/>
        <item x="190"/>
        <item x="85"/>
        <item x="156"/>
        <item x="272"/>
        <item x="220"/>
        <item x="669"/>
        <item x="52"/>
        <item x="663"/>
        <item x="102"/>
        <item x="521"/>
        <item x="9"/>
        <item x="405"/>
        <item x="191"/>
        <item x="599"/>
        <item x="585"/>
        <item x="241"/>
        <item x="38"/>
        <item x="376"/>
        <item x="71"/>
        <item x="462"/>
        <item x="662"/>
        <item x="514"/>
        <item x="153"/>
        <item x="482"/>
        <item x="373"/>
        <item x="347"/>
        <item x="171"/>
        <item x="133"/>
        <item x="194"/>
        <item x="605"/>
        <item x="477"/>
        <item x="393"/>
        <item x="682"/>
        <item x="450"/>
        <item x="68"/>
        <item x="12"/>
        <item x="83"/>
        <item x="283"/>
        <item x="351"/>
        <item x="478"/>
        <item x="256"/>
        <item x="670"/>
        <item x="20"/>
        <item x="213"/>
        <item x="561"/>
        <item x="143"/>
        <item x="251"/>
        <item x="6"/>
        <item x="424"/>
        <item x="22"/>
        <item x="387"/>
        <item x="688"/>
        <item x="580"/>
        <item x="542"/>
        <item x="147"/>
        <item x="55"/>
        <item x="277"/>
        <item x="406"/>
        <item x="659"/>
        <item x="31"/>
        <item x="163"/>
        <item x="67"/>
        <item x="228"/>
        <item x="394"/>
        <item x="513"/>
        <item x="339"/>
        <item x="26"/>
        <item x="229"/>
        <item x="321"/>
        <item x="30"/>
        <item x="186"/>
        <item x="227"/>
        <item x="460"/>
        <item x="297"/>
        <item x="168"/>
        <item x="211"/>
        <item x="456"/>
        <item x="618"/>
        <item x="59"/>
        <item x="84"/>
        <item x="551"/>
        <item x="471"/>
        <item x="512"/>
        <item x="35"/>
        <item x="100"/>
        <item x="383"/>
        <item x="621"/>
        <item x="642"/>
        <item x="490"/>
        <item x="114"/>
        <item x="677"/>
        <item x="582"/>
        <item x="96"/>
        <item x="316"/>
        <item x="14"/>
        <item x="598"/>
        <item x="534"/>
        <item x="216"/>
        <item x="506"/>
        <item x="309"/>
        <item x="466"/>
        <item x="509"/>
        <item x="496"/>
        <item x="607"/>
        <item x="62"/>
        <item x="105"/>
        <item x="435"/>
        <item x="589"/>
        <item x="28"/>
        <item x="638"/>
        <item x="392"/>
        <item x="648"/>
        <item x="101"/>
        <item x="630"/>
        <item x="401"/>
        <item x="525"/>
        <item x="502"/>
        <item x="370"/>
        <item x="627"/>
        <item x="280"/>
        <item x="555"/>
        <item x="187"/>
        <item x="73"/>
        <item x="178"/>
        <item x="237"/>
        <item x="626"/>
        <item x="559"/>
        <item x="266"/>
        <item x="93"/>
        <item x="418"/>
        <item x="169"/>
        <item x="323"/>
        <item x="664"/>
        <item x="635"/>
        <item x="86"/>
        <item x="103"/>
        <item x="32"/>
        <item x="248"/>
        <item x="493"/>
        <item x="684"/>
        <item x="604"/>
        <item x="154"/>
        <item x="109"/>
        <item x="337"/>
        <item x="440"/>
        <item x="80"/>
        <item x="148"/>
        <item x="399"/>
        <item x="601"/>
        <item x="99"/>
        <item x="361"/>
        <item x="221"/>
        <item x="625"/>
        <item x="306"/>
        <item x="184"/>
        <item x="352"/>
        <item x="312"/>
        <item x="151"/>
        <item x="363"/>
        <item x="445"/>
        <item x="173"/>
        <item x="396"/>
        <item x="2"/>
        <item x="333"/>
        <item x="53"/>
        <item x="653"/>
        <item x="581"/>
        <item x="364"/>
        <item x="389"/>
        <item x="676"/>
        <item x="130"/>
        <item x="673"/>
        <item x="242"/>
        <item x="107"/>
        <item x="290"/>
        <item x="16"/>
        <item x="324"/>
        <item x="412"/>
        <item x="70"/>
        <item x="291"/>
        <item x="192"/>
        <item x="380"/>
        <item x="554"/>
        <item x="129"/>
        <item x="244"/>
        <item x="433"/>
        <item x="201"/>
        <item x="697"/>
        <item x="565"/>
        <item x="18"/>
        <item x="402"/>
        <item x="537"/>
        <item x="252"/>
        <item x="354"/>
        <item x="614"/>
        <item x="271"/>
        <item x="566"/>
        <item x="40"/>
        <item x="92"/>
        <item x="616"/>
        <item x="422"/>
        <item x="549"/>
        <item x="299"/>
        <item x="423"/>
        <item x="162"/>
        <item x="468"/>
        <item x="128"/>
        <item x="619"/>
        <item x="516"/>
        <item x="46"/>
        <item x="426"/>
        <item x="444"/>
        <item x="443"/>
        <item x="655"/>
        <item x="334"/>
        <item x="225"/>
        <item x="552"/>
        <item x="193"/>
        <item x="240"/>
        <item x="388"/>
        <item x="139"/>
        <item x="23"/>
        <item x="550"/>
        <item x="570"/>
        <item x="571"/>
        <item x="48"/>
        <item x="144"/>
        <item x="573"/>
        <item x="349"/>
        <item x="492"/>
        <item x="517"/>
        <item x="434"/>
        <item x="106"/>
        <item x="575"/>
        <item x="681"/>
        <item x="528"/>
        <item x="72"/>
        <item x="181"/>
        <item x="587"/>
        <item x="273"/>
        <item x="307"/>
        <item x="487"/>
        <item x="520"/>
        <item x="483"/>
        <item x="691"/>
        <item x="34"/>
        <item x="564"/>
        <item x="689"/>
        <item x="19"/>
        <item x="159"/>
        <item x="464"/>
        <item x="260"/>
        <item x="166"/>
        <item x="375"/>
        <item x="278"/>
        <item x="623"/>
        <item x="350"/>
        <item x="199"/>
        <item x="305"/>
        <item x="617"/>
        <item x="499"/>
        <item x="329"/>
        <item x="81"/>
        <item x="318"/>
        <item x="469"/>
        <item x="21"/>
        <item x="257"/>
        <item x="63"/>
        <item x="357"/>
        <item x="3"/>
        <item x="328"/>
        <item x="535"/>
        <item x="88"/>
        <item x="660"/>
        <item x="204"/>
        <item x="206"/>
        <item x="238"/>
        <item x="384"/>
        <item x="231"/>
        <item x="475"/>
        <item x="314"/>
        <item x="674"/>
        <item x="177"/>
        <item x="416"/>
        <item x="172"/>
        <item x="200"/>
        <item x="121"/>
        <item x="622"/>
        <item x="132"/>
        <item x="658"/>
        <item x="33"/>
        <item x="690"/>
        <item x="276"/>
        <item x="77"/>
        <item x="657"/>
        <item x="145"/>
        <item x="179"/>
        <item x="183"/>
        <item x="230"/>
        <item x="330"/>
        <item x="678"/>
        <item x="579"/>
        <item x="39"/>
        <item x="419"/>
        <item x="639"/>
        <item x="591"/>
        <item x="530"/>
        <item x="472"/>
        <item x="25"/>
        <item x="518"/>
        <item x="219"/>
        <item x="624"/>
        <item x="60"/>
        <item x="353"/>
        <item x="503"/>
        <item x="420"/>
        <item x="269"/>
        <item x="161"/>
        <item x="649"/>
        <item x="473"/>
        <item x="304"/>
        <item x="647"/>
        <item x="544"/>
        <item x="300"/>
        <item x="480"/>
        <item x="115"/>
        <item x="356"/>
        <item x="325"/>
        <item x="94"/>
        <item x="486"/>
        <item x="595"/>
        <item x="342"/>
        <item x="408"/>
        <item x="36"/>
        <item x="97"/>
        <item x="694"/>
        <item x="611"/>
        <item x="397"/>
        <item x="44"/>
        <item x="232"/>
        <item x="436"/>
        <item x="407"/>
        <item x="95"/>
        <item x="529"/>
        <item x="602"/>
        <item x="494"/>
        <item x="645"/>
        <item x="430"/>
        <item x="308"/>
        <item x="547"/>
        <item x="250"/>
        <item x="367"/>
        <item x="362"/>
        <item x="249"/>
        <item x="452"/>
        <item x="615"/>
        <item x="150"/>
        <item x="348"/>
        <item x="222"/>
        <item x="261"/>
        <item x="124"/>
        <item x="425"/>
        <item x="239"/>
        <item x="224"/>
        <item x="176"/>
        <item x="641"/>
        <item x="158"/>
        <item x="27"/>
        <item x="442"/>
        <item x="590"/>
        <item x="182"/>
        <item x="61"/>
        <item x="56"/>
        <item x="398"/>
        <item x="488"/>
        <item x="281"/>
        <item x="415"/>
        <item x="390"/>
        <item x="116"/>
        <item x="523"/>
        <item x="338"/>
        <item x="600"/>
        <item x="485"/>
        <item x="650"/>
        <item x="504"/>
        <item x="303"/>
        <item x="343"/>
        <item x="226"/>
        <item x="136"/>
        <item x="270"/>
        <item x="43"/>
        <item x="410"/>
        <item x="479"/>
        <item x="91"/>
        <item x="413"/>
        <item x="157"/>
        <item x="170"/>
        <item x="10"/>
        <item x="264"/>
        <item x="427"/>
        <item x="656"/>
        <item x="666"/>
        <item x="391"/>
        <item x="50"/>
        <item x="439"/>
        <item x="665"/>
        <item x="90"/>
        <item x="586"/>
        <item x="188"/>
        <item x="262"/>
        <item x="636"/>
        <item x="126"/>
        <item x="45"/>
        <item x="378"/>
        <item x="692"/>
        <item x="633"/>
        <item x="358"/>
        <item x="37"/>
        <item x="255"/>
        <item x="491"/>
        <item x="140"/>
        <item x="404"/>
        <item x="0"/>
        <item x="583"/>
        <item x="259"/>
        <item x="344"/>
        <item x="403"/>
        <item x="608"/>
        <item x="174"/>
        <item x="451"/>
        <item x="386"/>
        <item x="234"/>
        <item x="371"/>
        <item x="643"/>
        <item x="202"/>
        <item x="603"/>
        <item x="432"/>
        <item x="668"/>
        <item x="421"/>
        <item x="431"/>
        <item x="546"/>
        <item x="429"/>
        <item x="454"/>
        <item x="476"/>
        <item x="285"/>
        <item x="634"/>
        <item x="137"/>
        <item x="42"/>
        <item x="441"/>
        <item x="569"/>
        <item x="533"/>
        <item x="374"/>
        <item x="319"/>
        <item x="501"/>
        <item x="672"/>
        <item x="661"/>
        <item x="409"/>
        <item x="654"/>
        <item x="279"/>
        <item x="596"/>
        <item x="209"/>
        <item x="381"/>
        <item x="7"/>
        <item x="538"/>
        <item x="365"/>
        <item x="11"/>
        <item x="207"/>
        <item x="293"/>
        <item x="146"/>
        <item x="411"/>
        <item x="541"/>
        <item x="592"/>
        <item x="8"/>
        <item x="112"/>
        <item x="632"/>
        <item x="287"/>
        <item x="652"/>
        <item x="562"/>
        <item x="531"/>
        <item x="65"/>
        <item x="17"/>
        <item x="87"/>
        <item x="245"/>
        <item x="612"/>
        <item x="437"/>
        <item x="572"/>
        <item x="631"/>
        <item x="481"/>
        <item x="637"/>
        <item x="49"/>
        <item x="417"/>
        <item x="515"/>
        <item x="457"/>
        <item x="532"/>
        <item x="89"/>
        <item x="298"/>
        <item x="377"/>
        <item x="320"/>
        <item x="685"/>
        <item x="310"/>
        <item x="522"/>
        <item x="268"/>
        <item x="253"/>
        <item x="510"/>
        <item x="175"/>
        <item x="606"/>
        <item x="58"/>
        <item x="108"/>
        <item x="458"/>
        <item x="286"/>
        <item x="620"/>
        <item x="667"/>
        <item x="79"/>
        <item x="400"/>
        <item x="610"/>
        <item x="461"/>
        <item x="98"/>
        <item x="355"/>
        <item t="default"/>
      </items>
    </pivotField>
    <pivotField compact="0" outline="0" subtotalTop="0" showAll="0" includeNewItemsInFilter="1"/>
    <pivotField compact="0" numFmtId="14" outline="0" subtotalTop="0" showAll="0" includeNewItemsInFilter="1"/>
  </pivotFields>
  <rowFields count="2">
    <field x="13"/>
    <field x="12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Count of Sales" fld="4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N6" sqref="N6"/>
    </sheetView>
  </sheetViews>
  <sheetFormatPr defaultRowHeight="12.75" x14ac:dyDescent="0.15"/>
  <cols>
    <col min="1" max="1" width="13.4140625" customWidth="1"/>
    <col min="2" max="2" width="6.5703125" customWidth="1"/>
    <col min="3" max="3" width="5.36328125" customWidth="1"/>
    <col min="4" max="4" width="5.36328125" bestFit="1" customWidth="1"/>
  </cols>
  <sheetData>
    <row r="1" spans="1:2" x14ac:dyDescent="0.15">
      <c r="A1" s="30" t="s">
        <v>748</v>
      </c>
      <c r="B1" s="31" t="s">
        <v>938</v>
      </c>
    </row>
    <row r="3" spans="1:2" x14ac:dyDescent="0.15">
      <c r="A3" s="20" t="s">
        <v>927</v>
      </c>
      <c r="B3" s="24"/>
    </row>
    <row r="4" spans="1:2" x14ac:dyDescent="0.15">
      <c r="A4" s="20" t="s">
        <v>445</v>
      </c>
      <c r="B4" s="24" t="s">
        <v>928</v>
      </c>
    </row>
    <row r="5" spans="1:2" x14ac:dyDescent="0.15">
      <c r="A5" s="29">
        <v>0</v>
      </c>
      <c r="B5" s="25">
        <v>94</v>
      </c>
    </row>
    <row r="6" spans="1:2" x14ac:dyDescent="0.15">
      <c r="A6" s="28">
        <v>0.01</v>
      </c>
      <c r="B6" s="26">
        <v>117</v>
      </c>
    </row>
    <row r="7" spans="1:2" x14ac:dyDescent="0.15">
      <c r="A7" s="28">
        <v>0.02</v>
      </c>
      <c r="B7" s="26">
        <v>103</v>
      </c>
    </row>
    <row r="8" spans="1:2" x14ac:dyDescent="0.15">
      <c r="A8" s="28">
        <v>0.03</v>
      </c>
      <c r="B8" s="26">
        <v>94</v>
      </c>
    </row>
    <row r="9" spans="1:2" x14ac:dyDescent="0.15">
      <c r="A9" s="28">
        <v>0.04</v>
      </c>
      <c r="B9" s="26">
        <v>83</v>
      </c>
    </row>
    <row r="10" spans="1:2" x14ac:dyDescent="0.15">
      <c r="A10" s="28">
        <v>0.05</v>
      </c>
      <c r="B10" s="26">
        <v>110</v>
      </c>
    </row>
    <row r="11" spans="1:2" x14ac:dyDescent="0.15">
      <c r="A11" s="28">
        <v>0.06</v>
      </c>
      <c r="B11" s="26">
        <v>110</v>
      </c>
    </row>
    <row r="12" spans="1:2" x14ac:dyDescent="0.15">
      <c r="A12" s="28">
        <v>7.0000000000000007E-2</v>
      </c>
      <c r="B12" s="26">
        <v>91</v>
      </c>
    </row>
    <row r="13" spans="1:2" x14ac:dyDescent="0.15">
      <c r="A13" s="28">
        <v>0.08</v>
      </c>
      <c r="B13" s="26">
        <v>103</v>
      </c>
    </row>
    <row r="14" spans="1:2" x14ac:dyDescent="0.15">
      <c r="A14" s="28">
        <v>0.09</v>
      </c>
      <c r="B14" s="26">
        <v>107</v>
      </c>
    </row>
    <row r="15" spans="1:2" x14ac:dyDescent="0.15">
      <c r="A15" s="28">
        <v>0.1</v>
      </c>
      <c r="B15" s="26">
        <v>88</v>
      </c>
    </row>
    <row r="16" spans="1:2" x14ac:dyDescent="0.15">
      <c r="A16" s="22" t="s">
        <v>925</v>
      </c>
      <c r="B16" s="27">
        <v>1100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0"/>
  <sheetViews>
    <sheetView workbookViewId="0">
      <selection activeCell="A8" sqref="A8"/>
    </sheetView>
  </sheetViews>
  <sheetFormatPr defaultRowHeight="12.75" x14ac:dyDescent="0.15"/>
  <cols>
    <col min="1" max="1" width="13.4140625" customWidth="1"/>
    <col min="2" max="2" width="14.88671875" customWidth="1"/>
    <col min="3" max="3" width="5.36328125" customWidth="1"/>
  </cols>
  <sheetData>
    <row r="3" spans="1:3" x14ac:dyDescent="0.15">
      <c r="A3" s="20" t="s">
        <v>927</v>
      </c>
      <c r="B3" s="18"/>
      <c r="C3" s="24"/>
    </row>
    <row r="4" spans="1:3" x14ac:dyDescent="0.15">
      <c r="A4" s="20" t="s">
        <v>189</v>
      </c>
      <c r="B4" s="20" t="s">
        <v>918</v>
      </c>
      <c r="C4" s="24" t="s">
        <v>928</v>
      </c>
    </row>
    <row r="5" spans="1:3" x14ac:dyDescent="0.15">
      <c r="A5" s="17" t="s">
        <v>563</v>
      </c>
      <c r="B5" s="17" t="s">
        <v>920</v>
      </c>
      <c r="C5" s="25">
        <v>175</v>
      </c>
    </row>
    <row r="6" spans="1:3" x14ac:dyDescent="0.15">
      <c r="A6" s="19"/>
      <c r="B6" s="21" t="s">
        <v>919</v>
      </c>
      <c r="C6" s="26">
        <v>536</v>
      </c>
    </row>
    <row r="7" spans="1:3" x14ac:dyDescent="0.15">
      <c r="A7" s="17" t="s">
        <v>929</v>
      </c>
      <c r="B7" s="18"/>
      <c r="C7" s="25">
        <v>711</v>
      </c>
    </row>
    <row r="8" spans="1:3" x14ac:dyDescent="0.15">
      <c r="A8" s="17" t="s">
        <v>921</v>
      </c>
      <c r="B8" s="17" t="s">
        <v>921</v>
      </c>
      <c r="C8" s="25">
        <v>389</v>
      </c>
    </row>
    <row r="9" spans="1:3" x14ac:dyDescent="0.15">
      <c r="A9" s="17" t="s">
        <v>930</v>
      </c>
      <c r="B9" s="18"/>
      <c r="C9" s="25">
        <v>389</v>
      </c>
    </row>
    <row r="10" spans="1:3" x14ac:dyDescent="0.15">
      <c r="A10" s="22" t="s">
        <v>925</v>
      </c>
      <c r="B10" s="23"/>
      <c r="C10" s="27">
        <v>1100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36"/>
  <sheetViews>
    <sheetView workbookViewId="0">
      <selection activeCell="A3" sqref="A3"/>
    </sheetView>
  </sheetViews>
  <sheetFormatPr defaultRowHeight="12.75" x14ac:dyDescent="0.15"/>
  <cols>
    <col min="1" max="1" width="18.2421875" customWidth="1"/>
    <col min="2" max="2" width="29.2421875" customWidth="1"/>
    <col min="3" max="3" width="5.36328125" customWidth="1"/>
  </cols>
  <sheetData>
    <row r="3" spans="1:3" x14ac:dyDescent="0.15">
      <c r="A3" s="20" t="s">
        <v>927</v>
      </c>
      <c r="B3" s="18"/>
      <c r="C3" s="24"/>
    </row>
    <row r="4" spans="1:3" x14ac:dyDescent="0.15">
      <c r="A4" s="20" t="s">
        <v>85</v>
      </c>
      <c r="B4" s="20" t="s">
        <v>86</v>
      </c>
      <c r="C4" s="24" t="s">
        <v>928</v>
      </c>
    </row>
    <row r="5" spans="1:3" x14ac:dyDescent="0.15">
      <c r="A5" s="17" t="s">
        <v>570</v>
      </c>
      <c r="B5" s="17" t="s">
        <v>581</v>
      </c>
      <c r="C5" s="25">
        <v>31</v>
      </c>
    </row>
    <row r="6" spans="1:3" x14ac:dyDescent="0.15">
      <c r="A6" s="19"/>
      <c r="B6" s="21" t="s">
        <v>574</v>
      </c>
      <c r="C6" s="26">
        <v>41</v>
      </c>
    </row>
    <row r="7" spans="1:3" x14ac:dyDescent="0.15">
      <c r="A7" s="19"/>
      <c r="B7" s="21" t="s">
        <v>579</v>
      </c>
      <c r="C7" s="26">
        <v>98</v>
      </c>
    </row>
    <row r="8" spans="1:3" x14ac:dyDescent="0.15">
      <c r="A8" s="19"/>
      <c r="B8" s="21" t="s">
        <v>578</v>
      </c>
      <c r="C8" s="26">
        <v>53</v>
      </c>
    </row>
    <row r="9" spans="1:3" x14ac:dyDescent="0.15">
      <c r="A9" s="17" t="s">
        <v>931</v>
      </c>
      <c r="B9" s="18"/>
      <c r="C9" s="25">
        <v>223</v>
      </c>
    </row>
    <row r="10" spans="1:3" x14ac:dyDescent="0.15">
      <c r="A10" s="17" t="s">
        <v>568</v>
      </c>
      <c r="B10" s="17" t="s">
        <v>576</v>
      </c>
      <c r="C10" s="25">
        <v>63</v>
      </c>
    </row>
    <row r="11" spans="1:3" x14ac:dyDescent="0.15">
      <c r="A11" s="19"/>
      <c r="B11" s="21" t="s">
        <v>88</v>
      </c>
      <c r="C11" s="26">
        <v>123</v>
      </c>
    </row>
    <row r="12" spans="1:3" x14ac:dyDescent="0.15">
      <c r="A12" s="19"/>
      <c r="B12" s="21" t="s">
        <v>575</v>
      </c>
      <c r="C12" s="26">
        <v>34</v>
      </c>
    </row>
    <row r="13" spans="1:3" x14ac:dyDescent="0.15">
      <c r="A13" s="19"/>
      <c r="B13" s="21" t="s">
        <v>582</v>
      </c>
      <c r="C13" s="26">
        <v>29</v>
      </c>
    </row>
    <row r="14" spans="1:3" x14ac:dyDescent="0.15">
      <c r="A14" s="19"/>
      <c r="B14" s="21" t="s">
        <v>573</v>
      </c>
      <c r="C14" s="26">
        <v>146</v>
      </c>
    </row>
    <row r="15" spans="1:3" x14ac:dyDescent="0.15">
      <c r="A15" s="19"/>
      <c r="B15" s="21" t="s">
        <v>571</v>
      </c>
      <c r="C15" s="26">
        <v>88</v>
      </c>
    </row>
    <row r="16" spans="1:3" x14ac:dyDescent="0.15">
      <c r="A16" s="19"/>
      <c r="B16" s="21" t="s">
        <v>580</v>
      </c>
      <c r="C16" s="26">
        <v>26</v>
      </c>
    </row>
    <row r="17" spans="1:3" x14ac:dyDescent="0.15">
      <c r="A17" s="19"/>
      <c r="B17" s="21" t="s">
        <v>89</v>
      </c>
      <c r="C17" s="26">
        <v>20</v>
      </c>
    </row>
    <row r="18" spans="1:3" x14ac:dyDescent="0.15">
      <c r="A18" s="19"/>
      <c r="B18" s="21" t="s">
        <v>577</v>
      </c>
      <c r="C18" s="26">
        <v>70</v>
      </c>
    </row>
    <row r="19" spans="1:3" x14ac:dyDescent="0.15">
      <c r="A19" s="17" t="s">
        <v>932</v>
      </c>
      <c r="B19" s="18"/>
      <c r="C19" s="25">
        <v>599</v>
      </c>
    </row>
    <row r="20" spans="1:3" x14ac:dyDescent="0.15">
      <c r="A20" s="17" t="s">
        <v>569</v>
      </c>
      <c r="B20" s="17" t="s">
        <v>572</v>
      </c>
      <c r="C20" s="25">
        <v>93</v>
      </c>
    </row>
    <row r="21" spans="1:3" x14ac:dyDescent="0.15">
      <c r="A21" s="19"/>
      <c r="B21" s="21" t="s">
        <v>90</v>
      </c>
      <c r="C21" s="26">
        <v>11</v>
      </c>
    </row>
    <row r="22" spans="1:3" x14ac:dyDescent="0.15">
      <c r="A22" s="19"/>
      <c r="B22" s="21" t="s">
        <v>583</v>
      </c>
      <c r="C22" s="26">
        <v>50</v>
      </c>
    </row>
    <row r="23" spans="1:3" x14ac:dyDescent="0.15">
      <c r="A23" s="19"/>
      <c r="B23" s="21" t="s">
        <v>87</v>
      </c>
      <c r="C23" s="26">
        <v>111</v>
      </c>
    </row>
    <row r="24" spans="1:3" x14ac:dyDescent="0.15">
      <c r="A24" s="17" t="s">
        <v>933</v>
      </c>
      <c r="B24" s="18"/>
      <c r="C24" s="25">
        <v>265</v>
      </c>
    </row>
    <row r="25" spans="1:3" x14ac:dyDescent="0.15">
      <c r="A25" s="17" t="s">
        <v>924</v>
      </c>
      <c r="B25" s="17" t="s">
        <v>576</v>
      </c>
      <c r="C25" s="25">
        <v>1</v>
      </c>
    </row>
    <row r="26" spans="1:3" x14ac:dyDescent="0.15">
      <c r="A26" s="19"/>
      <c r="B26" s="21" t="s">
        <v>88</v>
      </c>
      <c r="C26" s="26">
        <v>1</v>
      </c>
    </row>
    <row r="27" spans="1:3" x14ac:dyDescent="0.15">
      <c r="A27" s="19"/>
      <c r="B27" s="21" t="s">
        <v>574</v>
      </c>
      <c r="C27" s="26">
        <v>3</v>
      </c>
    </row>
    <row r="28" spans="1:3" x14ac:dyDescent="0.15">
      <c r="A28" s="19"/>
      <c r="B28" s="21" t="s">
        <v>572</v>
      </c>
      <c r="C28" s="26">
        <v>1</v>
      </c>
    </row>
    <row r="29" spans="1:3" x14ac:dyDescent="0.15">
      <c r="A29" s="19"/>
      <c r="B29" s="21" t="s">
        <v>575</v>
      </c>
      <c r="C29" s="26">
        <v>2</v>
      </c>
    </row>
    <row r="30" spans="1:3" x14ac:dyDescent="0.15">
      <c r="A30" s="19"/>
      <c r="B30" s="21" t="s">
        <v>583</v>
      </c>
      <c r="C30" s="26">
        <v>1</v>
      </c>
    </row>
    <row r="31" spans="1:3" x14ac:dyDescent="0.15">
      <c r="A31" s="19"/>
      <c r="B31" s="21" t="s">
        <v>573</v>
      </c>
      <c r="C31" s="26">
        <v>1</v>
      </c>
    </row>
    <row r="32" spans="1:3" x14ac:dyDescent="0.15">
      <c r="A32" s="19"/>
      <c r="B32" s="21" t="s">
        <v>571</v>
      </c>
      <c r="C32" s="26">
        <v>1</v>
      </c>
    </row>
    <row r="33" spans="1:3" x14ac:dyDescent="0.15">
      <c r="A33" s="19"/>
      <c r="B33" s="21" t="s">
        <v>89</v>
      </c>
      <c r="C33" s="26">
        <v>1</v>
      </c>
    </row>
    <row r="34" spans="1:3" x14ac:dyDescent="0.15">
      <c r="A34" s="19"/>
      <c r="B34" s="21" t="s">
        <v>577</v>
      </c>
      <c r="C34" s="26">
        <v>1</v>
      </c>
    </row>
    <row r="35" spans="1:3" x14ac:dyDescent="0.15">
      <c r="A35" s="17" t="s">
        <v>926</v>
      </c>
      <c r="B35" s="18"/>
      <c r="C35" s="25">
        <v>13</v>
      </c>
    </row>
    <row r="36" spans="1:3" x14ac:dyDescent="0.15">
      <c r="A36" s="22" t="s">
        <v>925</v>
      </c>
      <c r="B36" s="23"/>
      <c r="C36" s="27">
        <v>1100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7"/>
  <sheetViews>
    <sheetView workbookViewId="0">
      <selection activeCell="L26" sqref="L26"/>
    </sheetView>
  </sheetViews>
  <sheetFormatPr defaultRowHeight="12.75" x14ac:dyDescent="0.15"/>
  <cols>
    <col min="1" max="1" width="19.8515625" bestFit="1" customWidth="1"/>
    <col min="2" max="2" width="9.5234375" customWidth="1"/>
    <col min="3" max="4" width="5.36328125" customWidth="1"/>
  </cols>
  <sheetData>
    <row r="3" spans="1:3" x14ac:dyDescent="0.15">
      <c r="A3" s="20" t="s">
        <v>927</v>
      </c>
      <c r="B3" s="18"/>
      <c r="C3" s="24"/>
    </row>
    <row r="4" spans="1:3" x14ac:dyDescent="0.15">
      <c r="A4" s="20" t="s">
        <v>509</v>
      </c>
      <c r="B4" s="20" t="s">
        <v>189</v>
      </c>
      <c r="C4" s="24" t="s">
        <v>928</v>
      </c>
    </row>
    <row r="5" spans="1:3" x14ac:dyDescent="0.15">
      <c r="A5" s="17" t="s">
        <v>566</v>
      </c>
      <c r="B5" s="17" t="s">
        <v>563</v>
      </c>
      <c r="C5" s="25">
        <v>135</v>
      </c>
    </row>
    <row r="6" spans="1:3" x14ac:dyDescent="0.15">
      <c r="A6" s="19"/>
      <c r="B6" s="21" t="s">
        <v>921</v>
      </c>
      <c r="C6" s="26">
        <v>80</v>
      </c>
    </row>
    <row r="7" spans="1:3" x14ac:dyDescent="0.15">
      <c r="A7" s="17" t="s">
        <v>934</v>
      </c>
      <c r="B7" s="18"/>
      <c r="C7" s="25">
        <v>215</v>
      </c>
    </row>
    <row r="8" spans="1:3" x14ac:dyDescent="0.15">
      <c r="A8" s="17" t="s">
        <v>567</v>
      </c>
      <c r="B8" s="17" t="s">
        <v>563</v>
      </c>
      <c r="C8" s="25">
        <v>224</v>
      </c>
    </row>
    <row r="9" spans="1:3" x14ac:dyDescent="0.15">
      <c r="A9" s="19"/>
      <c r="B9" s="21" t="s">
        <v>921</v>
      </c>
      <c r="C9" s="26">
        <v>168</v>
      </c>
    </row>
    <row r="10" spans="1:3" x14ac:dyDescent="0.15">
      <c r="A10" s="17" t="s">
        <v>935</v>
      </c>
      <c r="B10" s="18"/>
      <c r="C10" s="25">
        <v>392</v>
      </c>
    </row>
    <row r="11" spans="1:3" x14ac:dyDescent="0.15">
      <c r="A11" s="17" t="s">
        <v>564</v>
      </c>
      <c r="B11" s="17" t="s">
        <v>563</v>
      </c>
      <c r="C11" s="25">
        <v>184</v>
      </c>
    </row>
    <row r="12" spans="1:3" x14ac:dyDescent="0.15">
      <c r="A12" s="19"/>
      <c r="B12" s="21" t="s">
        <v>921</v>
      </c>
      <c r="C12" s="26">
        <v>76</v>
      </c>
    </row>
    <row r="13" spans="1:3" x14ac:dyDescent="0.15">
      <c r="A13" s="17" t="s">
        <v>936</v>
      </c>
      <c r="B13" s="18"/>
      <c r="C13" s="25">
        <v>260</v>
      </c>
    </row>
    <row r="14" spans="1:3" x14ac:dyDescent="0.15">
      <c r="A14" s="17" t="s">
        <v>565</v>
      </c>
      <c r="B14" s="17" t="s">
        <v>563</v>
      </c>
      <c r="C14" s="25">
        <v>168</v>
      </c>
    </row>
    <row r="15" spans="1:3" x14ac:dyDescent="0.15">
      <c r="A15" s="19"/>
      <c r="B15" s="21" t="s">
        <v>921</v>
      </c>
      <c r="C15" s="26">
        <v>65</v>
      </c>
    </row>
    <row r="16" spans="1:3" x14ac:dyDescent="0.15">
      <c r="A16" s="17" t="s">
        <v>937</v>
      </c>
      <c r="B16" s="18"/>
      <c r="C16" s="25">
        <v>233</v>
      </c>
    </row>
    <row r="17" spans="1:3" x14ac:dyDescent="0.15">
      <c r="A17" s="22" t="s">
        <v>925</v>
      </c>
      <c r="B17" s="23"/>
      <c r="C17" s="27">
        <v>1100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S1113"/>
  <sheetViews>
    <sheetView topLeftCell="D1" workbookViewId="0">
      <pane ySplit="1" topLeftCell="D2" activePane="bottomLeft" state="frozen"/>
      <selection activeCell="L1" sqref="L1"/>
      <selection pane="bottomLeft" activeCell="D23" sqref="D23"/>
    </sheetView>
  </sheetViews>
  <sheetFormatPr defaultColWidth="9.12109375" defaultRowHeight="12.75" x14ac:dyDescent="0.15"/>
  <cols>
    <col min="1" max="1" width="11" style="3" customWidth="1"/>
    <col min="2" max="2" width="18.109375" style="9" customWidth="1"/>
    <col min="3" max="3" width="15.828125" style="3" customWidth="1"/>
    <col min="4" max="5" width="16.90234375" style="3" customWidth="1"/>
    <col min="6" max="6" width="12.609375" style="3" customWidth="1"/>
    <col min="7" max="7" width="13.546875" style="3" customWidth="1"/>
    <col min="8" max="8" width="13.546875" style="10" customWidth="1"/>
    <col min="9" max="9" width="12.33984375" style="7" customWidth="1"/>
    <col min="10" max="10" width="16.36328125" style="7" customWidth="1"/>
    <col min="11" max="11" width="18.375" style="3" customWidth="1"/>
    <col min="12" max="12" width="17.03515625" style="3" customWidth="1"/>
    <col min="13" max="13" width="15.9609375" style="3" customWidth="1"/>
    <col min="14" max="14" width="21.328125" style="3" customWidth="1"/>
    <col min="15" max="15" width="19.8515625" style="3" customWidth="1"/>
    <col min="16" max="16" width="29.375" style="3" customWidth="1"/>
    <col min="17" max="17" width="62.9140625" style="3" customWidth="1"/>
    <col min="18" max="18" width="20.25390625" style="3" customWidth="1"/>
    <col min="19" max="19" width="18.375" style="3" customWidth="1"/>
    <col min="20" max="16384" width="9.12109375" style="3"/>
  </cols>
  <sheetData>
    <row r="1" spans="1:19" s="5" customFormat="1" ht="25.5" customHeight="1" x14ac:dyDescent="0.15">
      <c r="A1" s="11" t="s">
        <v>512</v>
      </c>
      <c r="B1" s="12" t="s">
        <v>513</v>
      </c>
      <c r="C1" s="12" t="s">
        <v>506</v>
      </c>
      <c r="D1" s="13" t="s">
        <v>507</v>
      </c>
      <c r="E1" s="12" t="s">
        <v>748</v>
      </c>
      <c r="F1" s="12" t="s">
        <v>445</v>
      </c>
      <c r="G1" s="12" t="s">
        <v>508</v>
      </c>
      <c r="H1" s="14" t="s">
        <v>747</v>
      </c>
      <c r="I1" s="15" t="s">
        <v>44</v>
      </c>
      <c r="J1" s="15" t="s">
        <v>749</v>
      </c>
      <c r="K1" s="12" t="s">
        <v>909</v>
      </c>
      <c r="L1" s="12" t="s">
        <v>918</v>
      </c>
      <c r="M1" s="12" t="s">
        <v>189</v>
      </c>
      <c r="N1" s="12" t="s">
        <v>509</v>
      </c>
      <c r="O1" s="12" t="s">
        <v>85</v>
      </c>
      <c r="P1" s="12" t="s">
        <v>86</v>
      </c>
      <c r="Q1" s="13" t="s">
        <v>510</v>
      </c>
      <c r="R1" s="12" t="s">
        <v>511</v>
      </c>
      <c r="S1" s="12" t="s">
        <v>514</v>
      </c>
    </row>
    <row r="2" spans="1:19" x14ac:dyDescent="0.15">
      <c r="A2" s="1">
        <v>1637</v>
      </c>
      <c r="B2" s="6">
        <f>DATE(2012,12,31)-693</f>
        <v>40581</v>
      </c>
      <c r="C2" s="2" t="s">
        <v>915</v>
      </c>
      <c r="D2" s="1">
        <v>10</v>
      </c>
      <c r="E2" s="1">
        <v>1024.29</v>
      </c>
      <c r="F2" s="1">
        <v>7.0000000000000007E-2</v>
      </c>
      <c r="G2" s="2" t="s">
        <v>560</v>
      </c>
      <c r="H2" s="10">
        <v>-95.52</v>
      </c>
      <c r="I2" s="7">
        <v>99.99</v>
      </c>
      <c r="J2" s="7">
        <v>19.989999999999998</v>
      </c>
      <c r="K2" s="2" t="s">
        <v>821</v>
      </c>
      <c r="L2" s="16" t="s">
        <v>921</v>
      </c>
      <c r="M2" s="16" t="s">
        <v>921</v>
      </c>
      <c r="N2" s="2" t="s">
        <v>567</v>
      </c>
      <c r="O2" s="2" t="s">
        <v>569</v>
      </c>
      <c r="P2" s="2" t="s">
        <v>572</v>
      </c>
      <c r="Q2" s="1" t="s">
        <v>347</v>
      </c>
      <c r="R2" s="2" t="s">
        <v>585</v>
      </c>
      <c r="S2" s="8">
        <f>B2+0</f>
        <v>40581</v>
      </c>
    </row>
    <row r="3" spans="1:19" x14ac:dyDescent="0.15">
      <c r="A3" s="1">
        <v>1637</v>
      </c>
      <c r="B3" s="6">
        <f>DATE(2012,12,31)-693</f>
        <v>40581</v>
      </c>
      <c r="C3" s="2" t="s">
        <v>915</v>
      </c>
      <c r="D3" s="1">
        <v>47</v>
      </c>
      <c r="E3" s="1">
        <v>1348.57</v>
      </c>
      <c r="F3" s="1">
        <v>0.08</v>
      </c>
      <c r="G3" s="2" t="s">
        <v>560</v>
      </c>
      <c r="H3" s="10">
        <v>19.57</v>
      </c>
      <c r="I3" s="7">
        <v>30.98</v>
      </c>
      <c r="J3" s="7">
        <v>8.99</v>
      </c>
      <c r="K3" s="2" t="s">
        <v>821</v>
      </c>
      <c r="L3" s="16" t="s">
        <v>921</v>
      </c>
      <c r="M3" s="16" t="s">
        <v>921</v>
      </c>
      <c r="N3" s="2" t="s">
        <v>567</v>
      </c>
      <c r="O3" s="2" t="s">
        <v>568</v>
      </c>
      <c r="P3" s="2" t="s">
        <v>571</v>
      </c>
      <c r="Q3" s="1" t="s">
        <v>393</v>
      </c>
      <c r="R3" s="2" t="s">
        <v>587</v>
      </c>
      <c r="S3" s="8">
        <f>B3+2</f>
        <v>40583</v>
      </c>
    </row>
    <row r="4" spans="1:19" x14ac:dyDescent="0.15">
      <c r="A4" s="1">
        <v>1888</v>
      </c>
      <c r="B4" s="6">
        <f>DATE(2012,12,31)-793</f>
        <v>40481</v>
      </c>
      <c r="C4" s="2" t="s">
        <v>915</v>
      </c>
      <c r="D4" s="1">
        <v>38</v>
      </c>
      <c r="E4" s="1">
        <v>1264.46</v>
      </c>
      <c r="F4" s="1">
        <v>0</v>
      </c>
      <c r="G4" s="2" t="s">
        <v>562</v>
      </c>
      <c r="H4" s="10">
        <v>-1249.3900000000001</v>
      </c>
      <c r="I4" s="7">
        <v>31.76</v>
      </c>
      <c r="J4" s="7">
        <v>45.51</v>
      </c>
      <c r="K4" s="2" t="s">
        <v>904</v>
      </c>
      <c r="L4" s="16" t="s">
        <v>921</v>
      </c>
      <c r="M4" s="16" t="s">
        <v>921</v>
      </c>
      <c r="N4" s="2" t="s">
        <v>567</v>
      </c>
      <c r="O4" s="2" t="s">
        <v>570</v>
      </c>
      <c r="P4" s="2" t="s">
        <v>578</v>
      </c>
      <c r="Q4" s="1" t="s">
        <v>184</v>
      </c>
      <c r="R4" s="2" t="s">
        <v>588</v>
      </c>
      <c r="S4" s="8">
        <f>B4+0</f>
        <v>40481</v>
      </c>
    </row>
    <row r="5" spans="1:19" x14ac:dyDescent="0.15">
      <c r="A5" s="1">
        <v>1888</v>
      </c>
      <c r="B5" s="6">
        <f>DATE(2012,12,31)-793</f>
        <v>40481</v>
      </c>
      <c r="C5" s="2" t="s">
        <v>915</v>
      </c>
      <c r="D5" s="1">
        <v>35</v>
      </c>
      <c r="E5" s="1">
        <v>158.25</v>
      </c>
      <c r="F5" s="1">
        <v>0.09</v>
      </c>
      <c r="G5" s="2" t="s">
        <v>560</v>
      </c>
      <c r="H5" s="10">
        <v>-114.7355</v>
      </c>
      <c r="I5" s="7">
        <v>4.57</v>
      </c>
      <c r="J5" s="7">
        <v>5.42</v>
      </c>
      <c r="K5" s="2" t="s">
        <v>904</v>
      </c>
      <c r="L5" s="16" t="s">
        <v>921</v>
      </c>
      <c r="M5" s="16" t="s">
        <v>921</v>
      </c>
      <c r="N5" s="2" t="s">
        <v>567</v>
      </c>
      <c r="O5" s="2" t="s">
        <v>568</v>
      </c>
      <c r="P5" s="2" t="s">
        <v>88</v>
      </c>
      <c r="Q5" s="1" t="s">
        <v>527</v>
      </c>
      <c r="R5" s="2" t="s">
        <v>585</v>
      </c>
      <c r="S5" s="8">
        <f>B5+1</f>
        <v>40482</v>
      </c>
    </row>
    <row r="6" spans="1:19" x14ac:dyDescent="0.15">
      <c r="A6" s="1">
        <v>2052</v>
      </c>
      <c r="B6" s="6">
        <f>DATE(2012,12,31)-263</f>
        <v>41011</v>
      </c>
      <c r="C6" s="2" t="s">
        <v>913</v>
      </c>
      <c r="D6" s="1">
        <v>23</v>
      </c>
      <c r="E6" s="1">
        <v>107.93</v>
      </c>
      <c r="F6" s="1">
        <v>0</v>
      </c>
      <c r="G6" s="2" t="s">
        <v>560</v>
      </c>
      <c r="H6" s="10">
        <v>-68.137500000000003</v>
      </c>
      <c r="I6" s="7">
        <v>4.13</v>
      </c>
      <c r="J6" s="7">
        <v>5.34</v>
      </c>
      <c r="K6" s="2" t="s">
        <v>856</v>
      </c>
      <c r="L6" s="16" t="s">
        <v>921</v>
      </c>
      <c r="M6" s="16" t="s">
        <v>921</v>
      </c>
      <c r="N6" s="2" t="s">
        <v>565</v>
      </c>
      <c r="O6" s="2" t="s">
        <v>568</v>
      </c>
      <c r="P6" s="2" t="s">
        <v>88</v>
      </c>
      <c r="Q6" s="1" t="s">
        <v>42</v>
      </c>
      <c r="R6" s="2" t="s">
        <v>585</v>
      </c>
      <c r="S6" s="8">
        <f>B6+2</f>
        <v>41013</v>
      </c>
    </row>
    <row r="7" spans="1:19" x14ac:dyDescent="0.15">
      <c r="A7" s="1">
        <v>2055</v>
      </c>
      <c r="B7" s="6">
        <f>DATE(2012,12,31)-850</f>
        <v>40424</v>
      </c>
      <c r="C7" s="2" t="s">
        <v>917</v>
      </c>
      <c r="D7" s="1">
        <v>7</v>
      </c>
      <c r="E7" s="1">
        <v>66.41</v>
      </c>
      <c r="F7" s="1">
        <v>0.05</v>
      </c>
      <c r="G7" s="2" t="s">
        <v>560</v>
      </c>
      <c r="H7" s="10">
        <v>-32.35</v>
      </c>
      <c r="I7" s="7">
        <v>8.74</v>
      </c>
      <c r="J7" s="7">
        <v>8.2899999999999991</v>
      </c>
      <c r="K7" s="2" t="s">
        <v>862</v>
      </c>
      <c r="L7" s="16" t="s">
        <v>921</v>
      </c>
      <c r="M7" s="16" t="s">
        <v>921</v>
      </c>
      <c r="N7" s="2" t="s">
        <v>565</v>
      </c>
      <c r="O7" s="2" t="s">
        <v>568</v>
      </c>
      <c r="P7" s="2" t="s">
        <v>575</v>
      </c>
      <c r="Q7" s="1" t="s">
        <v>477</v>
      </c>
      <c r="R7" s="2" t="s">
        <v>585</v>
      </c>
      <c r="S7" s="8">
        <f>B7+2</f>
        <v>40426</v>
      </c>
    </row>
    <row r="8" spans="1:19" x14ac:dyDescent="0.15">
      <c r="A8" s="1">
        <v>2309</v>
      </c>
      <c r="B8" s="6">
        <f>DATE(2012,12,31)-485</f>
        <v>40789</v>
      </c>
      <c r="C8" s="2" t="s">
        <v>916</v>
      </c>
      <c r="D8" s="1">
        <v>7</v>
      </c>
      <c r="E8" s="1">
        <v>27.01</v>
      </c>
      <c r="F8" s="1">
        <v>0.05</v>
      </c>
      <c r="G8" s="2" t="s">
        <v>560</v>
      </c>
      <c r="H8" s="10">
        <v>-1.2994999999999999</v>
      </c>
      <c r="I8" s="7">
        <v>3.8</v>
      </c>
      <c r="J8" s="7">
        <v>1.49</v>
      </c>
      <c r="K8" s="2" t="s">
        <v>874</v>
      </c>
      <c r="L8" s="16" t="s">
        <v>921</v>
      </c>
      <c r="M8" s="16" t="s">
        <v>921</v>
      </c>
      <c r="N8" s="2" t="s">
        <v>566</v>
      </c>
      <c r="O8" s="2" t="s">
        <v>568</v>
      </c>
      <c r="P8" s="2" t="s">
        <v>88</v>
      </c>
      <c r="Q8" s="1" t="s">
        <v>611</v>
      </c>
      <c r="R8" s="2" t="s">
        <v>585</v>
      </c>
      <c r="S8" s="8">
        <f>B8+2</f>
        <v>40791</v>
      </c>
    </row>
    <row r="9" spans="1:19" x14ac:dyDescent="0.15">
      <c r="A9" s="1">
        <v>2341</v>
      </c>
      <c r="B9" s="6">
        <f>DATE(2012,12,31)-947</f>
        <v>40327</v>
      </c>
      <c r="C9" s="2" t="s">
        <v>916</v>
      </c>
      <c r="D9" s="1">
        <v>29</v>
      </c>
      <c r="E9" s="1">
        <v>157.49</v>
      </c>
      <c r="F9" s="1">
        <v>0.09</v>
      </c>
      <c r="G9" s="2" t="s">
        <v>560</v>
      </c>
      <c r="H9" s="10">
        <v>-58.25</v>
      </c>
      <c r="I9" s="7">
        <v>5.78</v>
      </c>
      <c r="J9" s="7">
        <v>4.96</v>
      </c>
      <c r="K9" s="2" t="s">
        <v>833</v>
      </c>
      <c r="L9" s="16" t="s">
        <v>921</v>
      </c>
      <c r="M9" s="16" t="s">
        <v>921</v>
      </c>
      <c r="N9" s="2" t="s">
        <v>565</v>
      </c>
      <c r="O9" s="2" t="s">
        <v>568</v>
      </c>
      <c r="P9" s="2" t="s">
        <v>573</v>
      </c>
      <c r="Q9" s="1" t="s">
        <v>485</v>
      </c>
      <c r="R9" s="2" t="s">
        <v>585</v>
      </c>
      <c r="S9" s="8">
        <f>B9+7</f>
        <v>40334</v>
      </c>
    </row>
    <row r="10" spans="1:19" x14ac:dyDescent="0.15">
      <c r="A10" s="1">
        <v>2436</v>
      </c>
      <c r="B10" s="6">
        <f>DATE(2012,12,31)-478</f>
        <v>40796</v>
      </c>
      <c r="C10" s="2" t="s">
        <v>915</v>
      </c>
      <c r="D10" s="1">
        <v>14</v>
      </c>
      <c r="E10" s="1">
        <v>330.21</v>
      </c>
      <c r="F10" s="1">
        <v>7.0000000000000007E-2</v>
      </c>
      <c r="G10" s="2" t="s">
        <v>561</v>
      </c>
      <c r="H10" s="10">
        <v>83.24</v>
      </c>
      <c r="I10" s="7">
        <v>22.84</v>
      </c>
      <c r="J10" s="7">
        <v>5.47</v>
      </c>
      <c r="K10" s="2" t="s">
        <v>868</v>
      </c>
      <c r="L10" s="16" t="s">
        <v>921</v>
      </c>
      <c r="M10" s="16" t="s">
        <v>921</v>
      </c>
      <c r="N10" s="2" t="s">
        <v>567</v>
      </c>
      <c r="O10" s="2" t="s">
        <v>568</v>
      </c>
      <c r="P10" s="2" t="s">
        <v>573</v>
      </c>
      <c r="Q10" s="1" t="s">
        <v>237</v>
      </c>
      <c r="R10" s="2" t="s">
        <v>585</v>
      </c>
      <c r="S10" s="8">
        <f>B10+3</f>
        <v>40799</v>
      </c>
    </row>
    <row r="11" spans="1:19" x14ac:dyDescent="0.15">
      <c r="A11" s="1">
        <v>2500</v>
      </c>
      <c r="B11" s="6">
        <f>DATE(2012,12,31)-139</f>
        <v>41135</v>
      </c>
      <c r="C11" s="2" t="s">
        <v>913</v>
      </c>
      <c r="D11" s="1">
        <v>5</v>
      </c>
      <c r="E11" s="1">
        <v>22.56</v>
      </c>
      <c r="F11" s="1">
        <v>0.04</v>
      </c>
      <c r="G11" s="2" t="s">
        <v>560</v>
      </c>
      <c r="H11" s="10">
        <v>-25.564499999999999</v>
      </c>
      <c r="I11" s="7">
        <v>3.36</v>
      </c>
      <c r="J11" s="7">
        <v>6.27</v>
      </c>
      <c r="K11" s="2" t="s">
        <v>789</v>
      </c>
      <c r="L11" s="16" t="s">
        <v>921</v>
      </c>
      <c r="M11" s="16" t="s">
        <v>921</v>
      </c>
      <c r="N11" s="2" t="s">
        <v>565</v>
      </c>
      <c r="O11" s="2" t="s">
        <v>568</v>
      </c>
      <c r="P11" s="2" t="s">
        <v>88</v>
      </c>
      <c r="Q11" s="1" t="s">
        <v>47</v>
      </c>
      <c r="R11" s="2" t="s">
        <v>585</v>
      </c>
      <c r="S11" s="8">
        <f>B11+2</f>
        <v>41137</v>
      </c>
    </row>
    <row r="12" spans="1:19" x14ac:dyDescent="0.15">
      <c r="A12" s="1">
        <v>2535</v>
      </c>
      <c r="B12" s="6">
        <f>DATE(2012,12,31)-952</f>
        <v>40322</v>
      </c>
      <c r="C12" s="2" t="s">
        <v>916</v>
      </c>
      <c r="D12" s="1">
        <v>6</v>
      </c>
      <c r="E12" s="1">
        <v>82.72</v>
      </c>
      <c r="F12" s="1">
        <v>0.08</v>
      </c>
      <c r="G12" s="2" t="s">
        <v>560</v>
      </c>
      <c r="H12" s="10">
        <v>-29.71</v>
      </c>
      <c r="I12" s="7">
        <v>14.48</v>
      </c>
      <c r="J12" s="7">
        <v>1.99</v>
      </c>
      <c r="K12" s="2" t="s">
        <v>898</v>
      </c>
      <c r="L12" s="16" t="s">
        <v>921</v>
      </c>
      <c r="M12" s="16" t="s">
        <v>921</v>
      </c>
      <c r="N12" s="2" t="s">
        <v>567</v>
      </c>
      <c r="O12" s="2" t="s">
        <v>569</v>
      </c>
      <c r="P12" s="2" t="s">
        <v>572</v>
      </c>
      <c r="Q12" s="1" t="s">
        <v>388</v>
      </c>
      <c r="R12" s="2" t="s">
        <v>587</v>
      </c>
      <c r="S12" s="8">
        <f>B12+2</f>
        <v>40324</v>
      </c>
    </row>
    <row r="13" spans="1:19" x14ac:dyDescent="0.15">
      <c r="A13" s="1">
        <v>2658</v>
      </c>
      <c r="B13" s="6">
        <f>DATE(2012,12,31)-466</f>
        <v>40808</v>
      </c>
      <c r="C13" s="2" t="s">
        <v>914</v>
      </c>
      <c r="D13" s="1">
        <v>34</v>
      </c>
      <c r="E13" s="1">
        <v>229.51</v>
      </c>
      <c r="F13" s="1">
        <v>0.04</v>
      </c>
      <c r="G13" s="2" t="s">
        <v>560</v>
      </c>
      <c r="H13" s="10">
        <v>-189.33</v>
      </c>
      <c r="I13" s="7">
        <v>6.48</v>
      </c>
      <c r="J13" s="7">
        <v>9.5399999999999991</v>
      </c>
      <c r="K13" s="2" t="s">
        <v>908</v>
      </c>
      <c r="L13" s="16" t="s">
        <v>921</v>
      </c>
      <c r="M13" s="16" t="s">
        <v>921</v>
      </c>
      <c r="N13" s="2" t="s">
        <v>565</v>
      </c>
      <c r="O13" s="2" t="s">
        <v>568</v>
      </c>
      <c r="P13" s="2" t="s">
        <v>573</v>
      </c>
      <c r="Q13" s="1" t="s">
        <v>363</v>
      </c>
      <c r="R13" s="2" t="s">
        <v>585</v>
      </c>
      <c r="S13" s="8">
        <f>B13+1</f>
        <v>40809</v>
      </c>
    </row>
    <row r="14" spans="1:19" x14ac:dyDescent="0.15">
      <c r="A14" s="1">
        <v>2658</v>
      </c>
      <c r="B14" s="6">
        <f>DATE(2012,12,31)-466</f>
        <v>40808</v>
      </c>
      <c r="C14" s="2" t="s">
        <v>914</v>
      </c>
      <c r="D14" s="1">
        <v>32</v>
      </c>
      <c r="E14" s="1">
        <v>473</v>
      </c>
      <c r="F14" s="1">
        <v>0.09</v>
      </c>
      <c r="G14" s="2" t="s">
        <v>561</v>
      </c>
      <c r="H14" s="10">
        <v>-185.8</v>
      </c>
      <c r="I14" s="7">
        <v>15.42</v>
      </c>
      <c r="J14" s="7">
        <v>10.68</v>
      </c>
      <c r="K14" s="2" t="s">
        <v>908</v>
      </c>
      <c r="L14" s="16" t="s">
        <v>921</v>
      </c>
      <c r="M14" s="16" t="s">
        <v>921</v>
      </c>
      <c r="N14" s="2" t="s">
        <v>565</v>
      </c>
      <c r="O14" s="2" t="s">
        <v>568</v>
      </c>
      <c r="P14" s="2" t="s">
        <v>577</v>
      </c>
      <c r="Q14" s="1" t="s">
        <v>638</v>
      </c>
      <c r="R14" s="2" t="s">
        <v>585</v>
      </c>
      <c r="S14" s="8">
        <f>B14+0</f>
        <v>40808</v>
      </c>
    </row>
    <row r="15" spans="1:19" x14ac:dyDescent="0.15">
      <c r="A15" s="1">
        <v>2725</v>
      </c>
      <c r="B15" s="6">
        <f>DATE(2012,12,31)-1321</f>
        <v>39953</v>
      </c>
      <c r="C15" s="2" t="s">
        <v>915</v>
      </c>
      <c r="D15" s="1">
        <v>39</v>
      </c>
      <c r="E15" s="1">
        <v>2178.431</v>
      </c>
      <c r="F15" s="1">
        <v>0.01</v>
      </c>
      <c r="G15" s="2" t="s">
        <v>561</v>
      </c>
      <c r="H15" s="10">
        <v>396.97199999999998</v>
      </c>
      <c r="I15" s="7">
        <v>65.989999999999995</v>
      </c>
      <c r="J15" s="7">
        <v>8.99</v>
      </c>
      <c r="K15" s="2" t="s">
        <v>761</v>
      </c>
      <c r="L15" s="16" t="s">
        <v>921</v>
      </c>
      <c r="M15" s="16" t="s">
        <v>921</v>
      </c>
      <c r="N15" s="2" t="s">
        <v>565</v>
      </c>
      <c r="O15" s="2" t="s">
        <v>569</v>
      </c>
      <c r="P15" s="2" t="s">
        <v>87</v>
      </c>
      <c r="Q15" s="1" t="s">
        <v>456</v>
      </c>
      <c r="R15" s="2" t="s">
        <v>585</v>
      </c>
      <c r="S15" s="8">
        <f>B15+1</f>
        <v>39954</v>
      </c>
    </row>
    <row r="16" spans="1:19" x14ac:dyDescent="0.15">
      <c r="A16" s="1">
        <v>2756</v>
      </c>
      <c r="B16" s="6">
        <f>DATE(2012,12,31)-1354</f>
        <v>39920</v>
      </c>
      <c r="C16" s="2" t="s">
        <v>917</v>
      </c>
      <c r="D16" s="1">
        <v>25</v>
      </c>
      <c r="E16" s="1">
        <v>1344.88</v>
      </c>
      <c r="F16" s="1">
        <v>0.06</v>
      </c>
      <c r="G16" s="2" t="s">
        <v>560</v>
      </c>
      <c r="H16" s="10">
        <v>-13.77</v>
      </c>
      <c r="I16" s="7">
        <v>55.94</v>
      </c>
      <c r="J16" s="7">
        <v>4</v>
      </c>
      <c r="K16" s="2" t="s">
        <v>808</v>
      </c>
      <c r="L16" s="16" t="s">
        <v>921</v>
      </c>
      <c r="M16" s="16" t="s">
        <v>921</v>
      </c>
      <c r="N16" s="2" t="s">
        <v>565</v>
      </c>
      <c r="O16" s="2" t="s">
        <v>569</v>
      </c>
      <c r="P16" s="2" t="s">
        <v>572</v>
      </c>
      <c r="Q16" s="1" t="s">
        <v>372</v>
      </c>
      <c r="R16" s="2" t="s">
        <v>585</v>
      </c>
      <c r="S16" s="8">
        <f>B16+1</f>
        <v>39921</v>
      </c>
    </row>
    <row r="17" spans="1:19" x14ac:dyDescent="0.15">
      <c r="A17" s="1">
        <v>2756</v>
      </c>
      <c r="B17" s="6">
        <f>DATE(2012,12,31)-1354</f>
        <v>39920</v>
      </c>
      <c r="C17" s="2" t="s">
        <v>917</v>
      </c>
      <c r="D17" s="1">
        <v>42</v>
      </c>
      <c r="E17" s="1">
        <v>248.54</v>
      </c>
      <c r="F17" s="1">
        <v>7.0000000000000007E-2</v>
      </c>
      <c r="G17" s="2" t="s">
        <v>560</v>
      </c>
      <c r="H17" s="10">
        <v>111.75</v>
      </c>
      <c r="I17" s="7">
        <v>6.3</v>
      </c>
      <c r="J17" s="7">
        <v>0.5</v>
      </c>
      <c r="K17" s="2" t="s">
        <v>808</v>
      </c>
      <c r="L17" s="16" t="s">
        <v>921</v>
      </c>
      <c r="M17" s="16" t="s">
        <v>921</v>
      </c>
      <c r="N17" s="2" t="s">
        <v>565</v>
      </c>
      <c r="O17" s="2" t="s">
        <v>568</v>
      </c>
      <c r="P17" s="2" t="s">
        <v>582</v>
      </c>
      <c r="Q17" s="1" t="s">
        <v>420</v>
      </c>
      <c r="R17" s="2" t="s">
        <v>585</v>
      </c>
      <c r="S17" s="8">
        <f>B17+0</f>
        <v>39920</v>
      </c>
    </row>
    <row r="18" spans="1:19" x14ac:dyDescent="0.15">
      <c r="A18" s="1">
        <v>2853</v>
      </c>
      <c r="B18" s="6">
        <f>DATE(2012,12,31)-1337</f>
        <v>39937</v>
      </c>
      <c r="C18" s="2" t="s">
        <v>913</v>
      </c>
      <c r="D18" s="1">
        <v>25</v>
      </c>
      <c r="E18" s="1">
        <v>4253.6499999999996</v>
      </c>
      <c r="F18" s="1">
        <v>0.05</v>
      </c>
      <c r="G18" s="2" t="s">
        <v>561</v>
      </c>
      <c r="H18" s="10">
        <v>943</v>
      </c>
      <c r="I18" s="7">
        <v>178.47</v>
      </c>
      <c r="J18" s="7">
        <v>19.989999999999998</v>
      </c>
      <c r="K18" s="2" t="s">
        <v>820</v>
      </c>
      <c r="L18" s="16" t="s">
        <v>921</v>
      </c>
      <c r="M18" s="16" t="s">
        <v>921</v>
      </c>
      <c r="N18" s="2" t="s">
        <v>566</v>
      </c>
      <c r="O18" s="2" t="s">
        <v>568</v>
      </c>
      <c r="P18" s="2" t="s">
        <v>577</v>
      </c>
      <c r="Q18" s="1" t="s">
        <v>535</v>
      </c>
      <c r="R18" s="2" t="s">
        <v>585</v>
      </c>
      <c r="S18" s="8">
        <f>B18+3</f>
        <v>39940</v>
      </c>
    </row>
    <row r="19" spans="1:19" x14ac:dyDescent="0.15">
      <c r="A19" s="1">
        <v>2914</v>
      </c>
      <c r="B19" s="6">
        <f>DATE(2012,12,31)-1035</f>
        <v>40239</v>
      </c>
      <c r="C19" s="2" t="s">
        <v>914</v>
      </c>
      <c r="D19" s="1">
        <v>3</v>
      </c>
      <c r="E19" s="1">
        <v>62.88</v>
      </c>
      <c r="F19" s="1">
        <v>0.09</v>
      </c>
      <c r="G19" s="2" t="s">
        <v>560</v>
      </c>
      <c r="H19" s="10">
        <v>-24.74</v>
      </c>
      <c r="I19" s="7">
        <v>18.97</v>
      </c>
      <c r="J19" s="7">
        <v>9.5399999999999991</v>
      </c>
      <c r="K19" s="2" t="s">
        <v>881</v>
      </c>
      <c r="L19" s="16" t="s">
        <v>921</v>
      </c>
      <c r="M19" s="16" t="s">
        <v>921</v>
      </c>
      <c r="N19" s="2" t="s">
        <v>566</v>
      </c>
      <c r="O19" s="2" t="s">
        <v>568</v>
      </c>
      <c r="P19" s="2" t="s">
        <v>573</v>
      </c>
      <c r="Q19" s="1" t="s">
        <v>522</v>
      </c>
      <c r="R19" s="2" t="s">
        <v>585</v>
      </c>
      <c r="S19" s="8">
        <f>B19+1</f>
        <v>40240</v>
      </c>
    </row>
    <row r="20" spans="1:19" x14ac:dyDescent="0.15">
      <c r="A20" s="1">
        <v>2978</v>
      </c>
      <c r="B20" s="6">
        <f>DATE(2012,12,31)-609</f>
        <v>40665</v>
      </c>
      <c r="C20" s="2" t="s">
        <v>917</v>
      </c>
      <c r="D20" s="1">
        <v>34</v>
      </c>
      <c r="E20" s="1">
        <v>6264.1854999999996</v>
      </c>
      <c r="F20" s="1">
        <v>0.01</v>
      </c>
      <c r="G20" s="2" t="s">
        <v>560</v>
      </c>
      <c r="H20" s="10">
        <v>1312.038</v>
      </c>
      <c r="I20" s="7">
        <v>205.99</v>
      </c>
      <c r="J20" s="7">
        <v>19.989999999999998</v>
      </c>
      <c r="K20" s="2" t="s">
        <v>907</v>
      </c>
      <c r="L20" s="16" t="s">
        <v>921</v>
      </c>
      <c r="M20" s="16" t="s">
        <v>921</v>
      </c>
      <c r="N20" s="2" t="s">
        <v>567</v>
      </c>
      <c r="O20" s="2" t="s">
        <v>569</v>
      </c>
      <c r="P20" s="2" t="s">
        <v>87</v>
      </c>
      <c r="Q20" s="1" t="s">
        <v>754</v>
      </c>
      <c r="R20" s="2" t="s">
        <v>585</v>
      </c>
      <c r="S20" s="8">
        <f>B20+1</f>
        <v>40666</v>
      </c>
    </row>
    <row r="21" spans="1:19" x14ac:dyDescent="0.15">
      <c r="A21" s="1">
        <v>2978</v>
      </c>
      <c r="B21" s="6">
        <f>DATE(2012,12,31)-609</f>
        <v>40665</v>
      </c>
      <c r="C21" s="2" t="s">
        <v>917</v>
      </c>
      <c r="D21" s="1">
        <v>36</v>
      </c>
      <c r="E21" s="1">
        <v>5410.95</v>
      </c>
      <c r="F21" s="1">
        <v>0.09</v>
      </c>
      <c r="G21" s="2" t="s">
        <v>560</v>
      </c>
      <c r="H21" s="10">
        <v>2077.91</v>
      </c>
      <c r="I21" s="7">
        <v>162.93</v>
      </c>
      <c r="J21" s="7">
        <v>19.989999999999998</v>
      </c>
      <c r="K21" s="2" t="s">
        <v>907</v>
      </c>
      <c r="L21" s="16" t="s">
        <v>921</v>
      </c>
      <c r="M21" s="16" t="s">
        <v>921</v>
      </c>
      <c r="N21" s="2" t="s">
        <v>567</v>
      </c>
      <c r="O21" s="2" t="s">
        <v>568</v>
      </c>
      <c r="P21" s="2" t="s">
        <v>575</v>
      </c>
      <c r="Q21" s="1" t="s">
        <v>647</v>
      </c>
      <c r="R21" s="2" t="s">
        <v>585</v>
      </c>
      <c r="S21" s="8">
        <f>B21+2</f>
        <v>40667</v>
      </c>
    </row>
    <row r="22" spans="1:19" x14ac:dyDescent="0.15">
      <c r="A22" s="1">
        <v>3008</v>
      </c>
      <c r="B22" s="6">
        <f>DATE(2012,12,31)-420</f>
        <v>40854</v>
      </c>
      <c r="C22" s="2" t="s">
        <v>914</v>
      </c>
      <c r="D22" s="1">
        <v>41</v>
      </c>
      <c r="E22" s="1">
        <v>6831.72</v>
      </c>
      <c r="F22" s="1">
        <v>0.01</v>
      </c>
      <c r="G22" s="2" t="s">
        <v>560</v>
      </c>
      <c r="H22" s="10">
        <v>3081.02</v>
      </c>
      <c r="I22" s="7">
        <v>162.93</v>
      </c>
      <c r="J22" s="7">
        <v>19.989999999999998</v>
      </c>
      <c r="K22" s="2" t="s">
        <v>776</v>
      </c>
      <c r="L22" s="16" t="s">
        <v>921</v>
      </c>
      <c r="M22" s="16" t="s">
        <v>921</v>
      </c>
      <c r="N22" s="2" t="s">
        <v>566</v>
      </c>
      <c r="O22" s="2" t="s">
        <v>568</v>
      </c>
      <c r="P22" s="2" t="s">
        <v>575</v>
      </c>
      <c r="Q22" s="1" t="s">
        <v>647</v>
      </c>
      <c r="R22" s="2" t="s">
        <v>585</v>
      </c>
      <c r="S22" s="8">
        <f>B22+1</f>
        <v>40855</v>
      </c>
    </row>
    <row r="23" spans="1:19" x14ac:dyDescent="0.15">
      <c r="A23" s="1">
        <v>3042</v>
      </c>
      <c r="B23" s="6">
        <f>DATE(2012,12,31)-1137</f>
        <v>40137</v>
      </c>
      <c r="C23" s="2" t="s">
        <v>914</v>
      </c>
      <c r="D23" s="1">
        <v>26</v>
      </c>
      <c r="E23" s="1">
        <v>103.87</v>
      </c>
      <c r="F23" s="1">
        <v>0.1</v>
      </c>
      <c r="G23" s="2" t="s">
        <v>560</v>
      </c>
      <c r="H23" s="10">
        <v>15.42</v>
      </c>
      <c r="I23" s="7">
        <v>4.26</v>
      </c>
      <c r="J23" s="7">
        <v>1.2</v>
      </c>
      <c r="K23" s="2" t="s">
        <v>770</v>
      </c>
      <c r="L23" s="16" t="s">
        <v>921</v>
      </c>
      <c r="M23" s="16" t="s">
        <v>921</v>
      </c>
      <c r="N23" s="2" t="s">
        <v>566</v>
      </c>
      <c r="O23" s="2" t="s">
        <v>568</v>
      </c>
      <c r="P23" s="2" t="s">
        <v>571</v>
      </c>
      <c r="Q23" s="1" t="s">
        <v>190</v>
      </c>
      <c r="R23" s="2" t="s">
        <v>584</v>
      </c>
      <c r="S23" s="8">
        <f>B23+1</f>
        <v>40138</v>
      </c>
    </row>
    <row r="24" spans="1:19" x14ac:dyDescent="0.15">
      <c r="A24" s="1">
        <v>3078</v>
      </c>
      <c r="B24" s="6">
        <f>DATE(2012,12,31)-1054</f>
        <v>40220</v>
      </c>
      <c r="C24" s="2" t="s">
        <v>913</v>
      </c>
      <c r="D24" s="1">
        <v>12</v>
      </c>
      <c r="E24" s="1">
        <v>33.86</v>
      </c>
      <c r="F24" s="1">
        <v>0.05</v>
      </c>
      <c r="G24" s="2" t="s">
        <v>560</v>
      </c>
      <c r="H24" s="10">
        <v>0.35000000000000053</v>
      </c>
      <c r="I24" s="7">
        <v>2.88</v>
      </c>
      <c r="J24" s="7">
        <v>0.7</v>
      </c>
      <c r="K24" s="2" t="s">
        <v>850</v>
      </c>
      <c r="L24" s="16" t="s">
        <v>921</v>
      </c>
      <c r="M24" s="16" t="s">
        <v>921</v>
      </c>
      <c r="N24" s="2" t="s">
        <v>567</v>
      </c>
      <c r="O24" s="2" t="s">
        <v>568</v>
      </c>
      <c r="P24" s="2" t="s">
        <v>571</v>
      </c>
      <c r="Q24" s="1" t="s">
        <v>262</v>
      </c>
      <c r="R24" s="2" t="s">
        <v>584</v>
      </c>
      <c r="S24" s="8">
        <f>B24+1</f>
        <v>40221</v>
      </c>
    </row>
    <row r="25" spans="1:19" x14ac:dyDescent="0.15">
      <c r="A25" s="1">
        <v>3175</v>
      </c>
      <c r="B25" s="6">
        <f>DATE(2012,12,31)-1266</f>
        <v>40008</v>
      </c>
      <c r="C25" s="2" t="s">
        <v>916</v>
      </c>
      <c r="D25" s="1">
        <v>23</v>
      </c>
      <c r="E25" s="1">
        <v>3553.62</v>
      </c>
      <c r="F25" s="1">
        <v>7.0000000000000007E-2</v>
      </c>
      <c r="G25" s="2" t="s">
        <v>560</v>
      </c>
      <c r="H25" s="10">
        <v>521.69000000000005</v>
      </c>
      <c r="I25" s="7">
        <v>165.2</v>
      </c>
      <c r="J25" s="7">
        <v>19.989999999999998</v>
      </c>
      <c r="K25" s="2" t="s">
        <v>824</v>
      </c>
      <c r="L25" s="16" t="s">
        <v>921</v>
      </c>
      <c r="M25" s="16" t="s">
        <v>921</v>
      </c>
      <c r="N25" s="2" t="s">
        <v>565</v>
      </c>
      <c r="O25" s="2" t="s">
        <v>568</v>
      </c>
      <c r="P25" s="2" t="s">
        <v>577</v>
      </c>
      <c r="Q25" s="1" t="s">
        <v>542</v>
      </c>
      <c r="R25" s="2" t="s">
        <v>585</v>
      </c>
      <c r="S25" s="8">
        <f>B25+2</f>
        <v>40010</v>
      </c>
    </row>
    <row r="26" spans="1:19" x14ac:dyDescent="0.15">
      <c r="A26" s="1">
        <v>3300</v>
      </c>
      <c r="B26" s="6">
        <f>DATE(2012,12,31)-536</f>
        <v>40738</v>
      </c>
      <c r="C26" s="2" t="s">
        <v>916</v>
      </c>
      <c r="D26" s="1">
        <v>6</v>
      </c>
      <c r="E26" s="1">
        <v>92.02</v>
      </c>
      <c r="F26" s="1">
        <v>0.1</v>
      </c>
      <c r="G26" s="2" t="s">
        <v>560</v>
      </c>
      <c r="H26" s="10">
        <v>-47.36</v>
      </c>
      <c r="I26" s="7">
        <v>15.98</v>
      </c>
      <c r="J26" s="7">
        <v>4</v>
      </c>
      <c r="K26" s="2" t="s">
        <v>802</v>
      </c>
      <c r="L26" s="16" t="s">
        <v>921</v>
      </c>
      <c r="M26" s="16" t="s">
        <v>921</v>
      </c>
      <c r="N26" s="2" t="s">
        <v>564</v>
      </c>
      <c r="O26" s="2" t="s">
        <v>569</v>
      </c>
      <c r="P26" s="2" t="s">
        <v>572</v>
      </c>
      <c r="Q26" s="1" t="s">
        <v>490</v>
      </c>
      <c r="R26" s="2" t="s">
        <v>585</v>
      </c>
      <c r="S26" s="8">
        <f>B26+5</f>
        <v>40743</v>
      </c>
    </row>
    <row r="27" spans="1:19" x14ac:dyDescent="0.15">
      <c r="A27" s="1">
        <v>3328</v>
      </c>
      <c r="B27" s="6">
        <f>DATE(2012,12,31)-43</f>
        <v>41231</v>
      </c>
      <c r="C27" s="2" t="s">
        <v>916</v>
      </c>
      <c r="D27" s="1">
        <v>12</v>
      </c>
      <c r="E27" s="1">
        <v>1736.41</v>
      </c>
      <c r="F27" s="1">
        <v>0.1</v>
      </c>
      <c r="G27" s="2" t="s">
        <v>562</v>
      </c>
      <c r="H27" s="10">
        <v>-762.44</v>
      </c>
      <c r="I27" s="7">
        <v>146.05000000000001</v>
      </c>
      <c r="J27" s="7">
        <v>80.2</v>
      </c>
      <c r="K27" s="2" t="s">
        <v>868</v>
      </c>
      <c r="L27" s="16" t="s">
        <v>921</v>
      </c>
      <c r="M27" s="16" t="s">
        <v>921</v>
      </c>
      <c r="N27" s="2" t="s">
        <v>567</v>
      </c>
      <c r="O27" s="2" t="s">
        <v>570</v>
      </c>
      <c r="P27" s="2" t="s">
        <v>578</v>
      </c>
      <c r="Q27" s="1" t="s">
        <v>292</v>
      </c>
      <c r="R27" s="2" t="s">
        <v>588</v>
      </c>
      <c r="S27" s="8">
        <f>B27+7</f>
        <v>41238</v>
      </c>
    </row>
    <row r="28" spans="1:19" x14ac:dyDescent="0.15">
      <c r="A28" s="1">
        <v>3525</v>
      </c>
      <c r="B28" s="6">
        <f>DATE(2012,12,31)-376</f>
        <v>40898</v>
      </c>
      <c r="C28" s="2" t="s">
        <v>915</v>
      </c>
      <c r="D28" s="1">
        <v>38</v>
      </c>
      <c r="E28" s="1">
        <v>115.43</v>
      </c>
      <c r="F28" s="1">
        <v>0</v>
      </c>
      <c r="G28" s="2" t="s">
        <v>560</v>
      </c>
      <c r="H28" s="10">
        <v>11.41</v>
      </c>
      <c r="I28" s="7">
        <v>2.78</v>
      </c>
      <c r="J28" s="7">
        <v>1.34</v>
      </c>
      <c r="K28" s="2" t="s">
        <v>802</v>
      </c>
      <c r="L28" s="16" t="s">
        <v>921</v>
      </c>
      <c r="M28" s="16" t="s">
        <v>921</v>
      </c>
      <c r="N28" s="2" t="s">
        <v>564</v>
      </c>
      <c r="O28" s="2" t="s">
        <v>568</v>
      </c>
      <c r="P28" s="2" t="s">
        <v>571</v>
      </c>
      <c r="Q28" s="1" t="s">
        <v>394</v>
      </c>
      <c r="R28" s="2" t="s">
        <v>584</v>
      </c>
      <c r="S28" s="8">
        <f>B28+2</f>
        <v>40900</v>
      </c>
    </row>
    <row r="29" spans="1:19" x14ac:dyDescent="0.15">
      <c r="A29" s="1">
        <v>3526</v>
      </c>
      <c r="B29" s="6">
        <f>DATE(2012,12,31)-657</f>
        <v>40617</v>
      </c>
      <c r="C29" s="2" t="s">
        <v>916</v>
      </c>
      <c r="D29" s="1">
        <v>20</v>
      </c>
      <c r="E29" s="1">
        <v>246.06</v>
      </c>
      <c r="F29" s="1">
        <v>0.08</v>
      </c>
      <c r="G29" s="2" t="s">
        <v>560</v>
      </c>
      <c r="H29" s="10">
        <v>20.67</v>
      </c>
      <c r="I29" s="7">
        <v>12.07</v>
      </c>
      <c r="J29" s="7">
        <v>6.2</v>
      </c>
      <c r="K29" s="2" t="s">
        <v>822</v>
      </c>
      <c r="L29" s="16" t="s">
        <v>921</v>
      </c>
      <c r="M29" s="16" t="s">
        <v>921</v>
      </c>
      <c r="N29" s="2" t="s">
        <v>565</v>
      </c>
      <c r="O29" s="2" t="s">
        <v>570</v>
      </c>
      <c r="P29" s="2" t="s">
        <v>579</v>
      </c>
      <c r="Q29" s="1" t="s">
        <v>402</v>
      </c>
      <c r="R29" s="2" t="s">
        <v>584</v>
      </c>
      <c r="S29" s="8">
        <f>B29+2</f>
        <v>40619</v>
      </c>
    </row>
    <row r="30" spans="1:19" x14ac:dyDescent="0.15">
      <c r="A30" s="1">
        <v>3621</v>
      </c>
      <c r="B30" s="6">
        <f>DATE(2012,12,31)-971</f>
        <v>40303</v>
      </c>
      <c r="C30" s="2" t="s">
        <v>914</v>
      </c>
      <c r="D30" s="1">
        <v>14</v>
      </c>
      <c r="E30" s="1">
        <v>83.87</v>
      </c>
      <c r="F30" s="1">
        <v>0.06</v>
      </c>
      <c r="G30" s="2" t="s">
        <v>560</v>
      </c>
      <c r="H30" s="10">
        <v>-28.83</v>
      </c>
      <c r="I30" s="7">
        <v>5.58</v>
      </c>
      <c r="J30" s="7">
        <v>5.3</v>
      </c>
      <c r="K30" s="2" t="s">
        <v>874</v>
      </c>
      <c r="L30" s="16" t="s">
        <v>921</v>
      </c>
      <c r="M30" s="16" t="s">
        <v>921</v>
      </c>
      <c r="N30" s="2" t="s">
        <v>565</v>
      </c>
      <c r="O30" s="2" t="s">
        <v>568</v>
      </c>
      <c r="P30" s="2" t="s">
        <v>575</v>
      </c>
      <c r="Q30" s="1" t="s">
        <v>204</v>
      </c>
      <c r="R30" s="2" t="s">
        <v>585</v>
      </c>
      <c r="S30" s="8">
        <f>B30+1</f>
        <v>40304</v>
      </c>
    </row>
    <row r="31" spans="1:19" x14ac:dyDescent="0.15">
      <c r="A31" s="1">
        <v>3649</v>
      </c>
      <c r="B31" s="6">
        <f>DATE(2012,12,31)-1275</f>
        <v>39999</v>
      </c>
      <c r="C31" s="2" t="s">
        <v>916</v>
      </c>
      <c r="D31" s="1">
        <v>8</v>
      </c>
      <c r="E31" s="1">
        <v>79.42</v>
      </c>
      <c r="F31" s="1">
        <v>0.01</v>
      </c>
      <c r="G31" s="2" t="s">
        <v>560</v>
      </c>
      <c r="H31" s="10">
        <v>-15.456</v>
      </c>
      <c r="I31" s="7">
        <v>8.8800000000000008</v>
      </c>
      <c r="J31" s="7">
        <v>6.28</v>
      </c>
      <c r="K31" s="2" t="s">
        <v>838</v>
      </c>
      <c r="L31" s="16" t="s">
        <v>921</v>
      </c>
      <c r="M31" s="16" t="s">
        <v>921</v>
      </c>
      <c r="N31" s="2" t="s">
        <v>564</v>
      </c>
      <c r="O31" s="2" t="s">
        <v>568</v>
      </c>
      <c r="P31" s="2" t="s">
        <v>88</v>
      </c>
      <c r="Q31" s="1" t="s">
        <v>339</v>
      </c>
      <c r="R31" s="2" t="s">
        <v>585</v>
      </c>
      <c r="S31" s="8">
        <f>B31+5</f>
        <v>40004</v>
      </c>
    </row>
    <row r="32" spans="1:19" x14ac:dyDescent="0.15">
      <c r="A32" s="1">
        <v>3649</v>
      </c>
      <c r="B32" s="6">
        <f>DATE(2012,12,31)-1275</f>
        <v>39999</v>
      </c>
      <c r="C32" s="2" t="s">
        <v>916</v>
      </c>
      <c r="D32" s="1">
        <v>26</v>
      </c>
      <c r="E32" s="1">
        <v>75.599999999999994</v>
      </c>
      <c r="F32" s="1">
        <v>0.06</v>
      </c>
      <c r="G32" s="2" t="s">
        <v>560</v>
      </c>
      <c r="H32" s="10">
        <v>17.14</v>
      </c>
      <c r="I32" s="7">
        <v>2.88</v>
      </c>
      <c r="J32" s="7">
        <v>0.99</v>
      </c>
      <c r="K32" s="2" t="s">
        <v>838</v>
      </c>
      <c r="L32" s="16" t="s">
        <v>921</v>
      </c>
      <c r="M32" s="16" t="s">
        <v>921</v>
      </c>
      <c r="N32" s="2" t="s">
        <v>564</v>
      </c>
      <c r="O32" s="2" t="s">
        <v>568</v>
      </c>
      <c r="P32" s="2" t="s">
        <v>582</v>
      </c>
      <c r="Q32" s="1" t="s">
        <v>23</v>
      </c>
      <c r="R32" s="2" t="s">
        <v>585</v>
      </c>
      <c r="S32" s="8">
        <f>B32+9</f>
        <v>40008</v>
      </c>
    </row>
    <row r="33" spans="1:19" x14ac:dyDescent="0.15">
      <c r="A33" s="1">
        <v>3654</v>
      </c>
      <c r="B33" s="6">
        <f>DATE(2012,12,31)-212</f>
        <v>41062</v>
      </c>
      <c r="C33" s="2" t="s">
        <v>916</v>
      </c>
      <c r="D33" s="1">
        <v>41</v>
      </c>
      <c r="E33" s="1">
        <v>95.73</v>
      </c>
      <c r="F33" s="1">
        <v>0</v>
      </c>
      <c r="G33" s="2" t="s">
        <v>560</v>
      </c>
      <c r="H33" s="10">
        <v>-151.15</v>
      </c>
      <c r="I33" s="7">
        <v>2.08</v>
      </c>
      <c r="J33" s="7">
        <v>5.33</v>
      </c>
      <c r="K33" s="2" t="s">
        <v>912</v>
      </c>
      <c r="L33" s="16" t="s">
        <v>921</v>
      </c>
      <c r="M33" s="16" t="s">
        <v>921</v>
      </c>
      <c r="N33" s="2" t="s">
        <v>567</v>
      </c>
      <c r="O33" s="2" t="s">
        <v>570</v>
      </c>
      <c r="P33" s="2" t="s">
        <v>579</v>
      </c>
      <c r="Q33" s="1" t="s">
        <v>720</v>
      </c>
      <c r="R33" s="2" t="s">
        <v>585</v>
      </c>
      <c r="S33" s="8">
        <f>B33+5</f>
        <v>41067</v>
      </c>
    </row>
    <row r="34" spans="1:19" x14ac:dyDescent="0.15">
      <c r="A34" s="1">
        <v>3814</v>
      </c>
      <c r="B34" s="6">
        <f>DATE(2012,12,31)-679</f>
        <v>40595</v>
      </c>
      <c r="C34" s="2" t="s">
        <v>916</v>
      </c>
      <c r="D34" s="1">
        <v>43</v>
      </c>
      <c r="E34" s="1">
        <v>1225.4100000000001</v>
      </c>
      <c r="F34" s="1">
        <v>0.04</v>
      </c>
      <c r="G34" s="2" t="s">
        <v>561</v>
      </c>
      <c r="H34" s="10">
        <v>-138.02000000000001</v>
      </c>
      <c r="I34" s="7">
        <v>28.28</v>
      </c>
      <c r="J34" s="7">
        <v>13.99</v>
      </c>
      <c r="K34" s="2" t="s">
        <v>869</v>
      </c>
      <c r="L34" s="16" t="s">
        <v>921</v>
      </c>
      <c r="M34" s="16" t="s">
        <v>921</v>
      </c>
      <c r="N34" s="2" t="s">
        <v>566</v>
      </c>
      <c r="O34" s="2" t="s">
        <v>568</v>
      </c>
      <c r="P34" s="2" t="s">
        <v>577</v>
      </c>
      <c r="Q34" s="1" t="s">
        <v>34</v>
      </c>
      <c r="R34" s="2" t="s">
        <v>589</v>
      </c>
      <c r="S34" s="8">
        <f>B34+6</f>
        <v>40601</v>
      </c>
    </row>
    <row r="35" spans="1:19" x14ac:dyDescent="0.15">
      <c r="A35" s="1">
        <v>3911</v>
      </c>
      <c r="B35" s="6">
        <f>DATE(2012,12,31)-656</f>
        <v>40618</v>
      </c>
      <c r="C35" s="2" t="s">
        <v>915</v>
      </c>
      <c r="D35" s="1">
        <v>24</v>
      </c>
      <c r="E35" s="1">
        <v>370.72</v>
      </c>
      <c r="F35" s="1">
        <v>0.1</v>
      </c>
      <c r="G35" s="2" t="s">
        <v>560</v>
      </c>
      <c r="H35" s="10">
        <v>-156.76</v>
      </c>
      <c r="I35" s="7">
        <v>15.7</v>
      </c>
      <c r="J35" s="7">
        <v>11.25</v>
      </c>
      <c r="K35" s="2" t="s">
        <v>789</v>
      </c>
      <c r="L35" s="16" t="s">
        <v>921</v>
      </c>
      <c r="M35" s="16" t="s">
        <v>921</v>
      </c>
      <c r="N35" s="2" t="s">
        <v>565</v>
      </c>
      <c r="O35" s="2" t="s">
        <v>568</v>
      </c>
      <c r="P35" s="2" t="s">
        <v>577</v>
      </c>
      <c r="Q35" s="1" t="s">
        <v>37</v>
      </c>
      <c r="R35" s="2" t="s">
        <v>585</v>
      </c>
      <c r="S35" s="8">
        <f>B35+0</f>
        <v>40618</v>
      </c>
    </row>
    <row r="36" spans="1:19" x14ac:dyDescent="0.15">
      <c r="A36" s="1">
        <v>4134</v>
      </c>
      <c r="B36" s="6">
        <f>DATE(2012,12,31)-720</f>
        <v>40554</v>
      </c>
      <c r="C36" s="2" t="s">
        <v>917</v>
      </c>
      <c r="D36" s="1">
        <v>48</v>
      </c>
      <c r="E36" s="1">
        <v>6403.39</v>
      </c>
      <c r="F36" s="1">
        <v>0.01</v>
      </c>
      <c r="G36" s="2" t="s">
        <v>562</v>
      </c>
      <c r="H36" s="10">
        <v>-824.15</v>
      </c>
      <c r="I36" s="7">
        <v>130.97999999999999</v>
      </c>
      <c r="J36" s="7">
        <v>54.74</v>
      </c>
      <c r="K36" s="2" t="s">
        <v>886</v>
      </c>
      <c r="L36" s="16" t="s">
        <v>921</v>
      </c>
      <c r="M36" s="16" t="s">
        <v>921</v>
      </c>
      <c r="N36" s="2" t="s">
        <v>565</v>
      </c>
      <c r="O36" s="2" t="s">
        <v>570</v>
      </c>
      <c r="P36" s="2" t="s">
        <v>581</v>
      </c>
      <c r="Q36" s="1" t="s">
        <v>551</v>
      </c>
      <c r="R36" s="2" t="s">
        <v>588</v>
      </c>
      <c r="S36" s="8">
        <f>B36+2</f>
        <v>40556</v>
      </c>
    </row>
    <row r="37" spans="1:19" x14ac:dyDescent="0.15">
      <c r="A37" s="1">
        <v>4134</v>
      </c>
      <c r="B37" s="6">
        <f>DATE(2012,12,31)-720</f>
        <v>40554</v>
      </c>
      <c r="C37" s="2" t="s">
        <v>917</v>
      </c>
      <c r="D37" s="1">
        <v>23</v>
      </c>
      <c r="E37" s="1">
        <v>757.91</v>
      </c>
      <c r="F37" s="1">
        <v>0.02</v>
      </c>
      <c r="G37" s="2" t="s">
        <v>560</v>
      </c>
      <c r="H37" s="10">
        <v>-16.05</v>
      </c>
      <c r="I37" s="7">
        <v>30.97</v>
      </c>
      <c r="J37" s="7">
        <v>4</v>
      </c>
      <c r="K37" s="2" t="s">
        <v>886</v>
      </c>
      <c r="L37" s="16" t="s">
        <v>921</v>
      </c>
      <c r="M37" s="16" t="s">
        <v>921</v>
      </c>
      <c r="N37" s="2" t="s">
        <v>565</v>
      </c>
      <c r="O37" s="2" t="s">
        <v>569</v>
      </c>
      <c r="P37" s="2" t="s">
        <v>572</v>
      </c>
      <c r="Q37" s="1" t="s">
        <v>122</v>
      </c>
      <c r="R37" s="2" t="s">
        <v>585</v>
      </c>
      <c r="S37" s="8">
        <f>B37+0</f>
        <v>40554</v>
      </c>
    </row>
    <row r="38" spans="1:19" x14ac:dyDescent="0.15">
      <c r="A38" s="1">
        <v>4230</v>
      </c>
      <c r="B38" s="6">
        <f>DATE(2012,12,31)-303</f>
        <v>40971</v>
      </c>
      <c r="C38" s="2" t="s">
        <v>917</v>
      </c>
      <c r="D38" s="1">
        <v>18</v>
      </c>
      <c r="E38" s="1">
        <v>409.16</v>
      </c>
      <c r="F38" s="1">
        <v>0.05</v>
      </c>
      <c r="G38" s="2" t="s">
        <v>560</v>
      </c>
      <c r="H38" s="10">
        <v>21.96</v>
      </c>
      <c r="I38" s="7">
        <v>22.72</v>
      </c>
      <c r="J38" s="7">
        <v>8.99</v>
      </c>
      <c r="K38" s="2" t="s">
        <v>826</v>
      </c>
      <c r="L38" s="16" t="s">
        <v>921</v>
      </c>
      <c r="M38" s="16" t="s">
        <v>921</v>
      </c>
      <c r="N38" s="2" t="s">
        <v>567</v>
      </c>
      <c r="O38" s="2" t="s">
        <v>570</v>
      </c>
      <c r="P38" s="2" t="s">
        <v>579</v>
      </c>
      <c r="Q38" s="1" t="s">
        <v>459</v>
      </c>
      <c r="R38" s="2" t="s">
        <v>587</v>
      </c>
      <c r="S38" s="8">
        <f>B38+1</f>
        <v>40972</v>
      </c>
    </row>
    <row r="39" spans="1:19" x14ac:dyDescent="0.15">
      <c r="A39" s="1">
        <v>4230</v>
      </c>
      <c r="B39" s="6">
        <f>DATE(2012,12,31)-303</f>
        <v>40971</v>
      </c>
      <c r="C39" s="2" t="s">
        <v>917</v>
      </c>
      <c r="D39" s="1">
        <v>46</v>
      </c>
      <c r="E39" s="1">
        <v>2508.3159999999998</v>
      </c>
      <c r="F39" s="1">
        <v>7.0000000000000007E-2</v>
      </c>
      <c r="G39" s="2" t="s">
        <v>561</v>
      </c>
      <c r="H39" s="10">
        <v>456.81299999999999</v>
      </c>
      <c r="I39" s="7">
        <v>65.989999999999995</v>
      </c>
      <c r="J39" s="7">
        <v>8.99</v>
      </c>
      <c r="K39" s="2" t="s">
        <v>826</v>
      </c>
      <c r="L39" s="16" t="s">
        <v>921</v>
      </c>
      <c r="M39" s="16" t="s">
        <v>921</v>
      </c>
      <c r="N39" s="2" t="s">
        <v>567</v>
      </c>
      <c r="O39" s="2" t="s">
        <v>569</v>
      </c>
      <c r="P39" s="2" t="s">
        <v>87</v>
      </c>
      <c r="Q39" s="1" t="s">
        <v>456</v>
      </c>
      <c r="R39" s="2" t="s">
        <v>585</v>
      </c>
      <c r="S39" s="8">
        <f>B39+2</f>
        <v>40973</v>
      </c>
    </row>
    <row r="40" spans="1:19" x14ac:dyDescent="0.15">
      <c r="A40" s="1">
        <v>4324</v>
      </c>
      <c r="B40" s="6">
        <f>DATE(2012,12,31)-534</f>
        <v>40740</v>
      </c>
      <c r="C40" s="2" t="s">
        <v>917</v>
      </c>
      <c r="D40" s="1">
        <v>28</v>
      </c>
      <c r="E40" s="1">
        <v>1165.33</v>
      </c>
      <c r="F40" s="1">
        <v>0.04</v>
      </c>
      <c r="G40" s="2" t="s">
        <v>560</v>
      </c>
      <c r="H40" s="10">
        <v>154.85</v>
      </c>
      <c r="I40" s="7">
        <v>40.97</v>
      </c>
      <c r="J40" s="7">
        <v>8.99</v>
      </c>
      <c r="K40" s="2" t="s">
        <v>852</v>
      </c>
      <c r="L40" s="16" t="s">
        <v>921</v>
      </c>
      <c r="M40" s="16" t="s">
        <v>921</v>
      </c>
      <c r="N40" s="2" t="s">
        <v>565</v>
      </c>
      <c r="O40" s="2" t="s">
        <v>568</v>
      </c>
      <c r="P40" s="2" t="s">
        <v>571</v>
      </c>
      <c r="Q40" s="1" t="s">
        <v>631</v>
      </c>
      <c r="R40" s="2" t="s">
        <v>587</v>
      </c>
      <c r="S40" s="8">
        <f>B40+2</f>
        <v>40742</v>
      </c>
    </row>
    <row r="41" spans="1:19" x14ac:dyDescent="0.15">
      <c r="A41" s="1">
        <v>4581</v>
      </c>
      <c r="B41" s="6">
        <f>DATE(2012,12,31)-119</f>
        <v>41155</v>
      </c>
      <c r="C41" s="2" t="s">
        <v>915</v>
      </c>
      <c r="D41" s="1">
        <v>25</v>
      </c>
      <c r="E41" s="1">
        <v>2325.42</v>
      </c>
      <c r="F41" s="1">
        <v>0.02</v>
      </c>
      <c r="G41" s="2" t="s">
        <v>560</v>
      </c>
      <c r="H41" s="10">
        <v>739.91</v>
      </c>
      <c r="I41" s="7">
        <v>90.48</v>
      </c>
      <c r="J41" s="7">
        <v>19.989999999999998</v>
      </c>
      <c r="K41" s="2" t="s">
        <v>849</v>
      </c>
      <c r="L41" s="16" t="s">
        <v>921</v>
      </c>
      <c r="M41" s="16" t="s">
        <v>921</v>
      </c>
      <c r="N41" s="2" t="s">
        <v>564</v>
      </c>
      <c r="O41" s="2" t="s">
        <v>568</v>
      </c>
      <c r="P41" s="2" t="s">
        <v>575</v>
      </c>
      <c r="Q41" s="1" t="s">
        <v>24</v>
      </c>
      <c r="R41" s="2" t="s">
        <v>585</v>
      </c>
      <c r="S41" s="8">
        <f>B41+2</f>
        <v>41157</v>
      </c>
    </row>
    <row r="42" spans="1:19" x14ac:dyDescent="0.15">
      <c r="A42" s="1">
        <v>4706</v>
      </c>
      <c r="B42" s="6">
        <f>DATE(2012,12,31)-3</f>
        <v>41271</v>
      </c>
      <c r="C42" s="2" t="s">
        <v>915</v>
      </c>
      <c r="D42" s="1">
        <v>30</v>
      </c>
      <c r="E42" s="1">
        <v>2116.6999999999998</v>
      </c>
      <c r="F42" s="1">
        <v>0.02</v>
      </c>
      <c r="G42" s="2" t="s">
        <v>560</v>
      </c>
      <c r="H42" s="10">
        <v>488.81800000000004</v>
      </c>
      <c r="I42" s="7">
        <v>67.28</v>
      </c>
      <c r="J42" s="7">
        <v>19.989999999999998</v>
      </c>
      <c r="K42" s="2" t="s">
        <v>824</v>
      </c>
      <c r="L42" s="16" t="s">
        <v>921</v>
      </c>
      <c r="M42" s="16" t="s">
        <v>921</v>
      </c>
      <c r="N42" s="2" t="s">
        <v>565</v>
      </c>
      <c r="O42" s="2" t="s">
        <v>568</v>
      </c>
      <c r="P42" s="2" t="s">
        <v>88</v>
      </c>
      <c r="Q42" s="1" t="s">
        <v>325</v>
      </c>
      <c r="R42" s="2" t="s">
        <v>585</v>
      </c>
      <c r="S42" s="8">
        <f>B42+2</f>
        <v>41273</v>
      </c>
    </row>
    <row r="43" spans="1:19" x14ac:dyDescent="0.15">
      <c r="A43" s="1">
        <v>4738</v>
      </c>
      <c r="B43" s="6">
        <f>DATE(2012,12,31)-268</f>
        <v>41006</v>
      </c>
      <c r="C43" s="2" t="s">
        <v>913</v>
      </c>
      <c r="D43" s="1">
        <v>2</v>
      </c>
      <c r="E43" s="1">
        <v>10.39</v>
      </c>
      <c r="F43" s="1">
        <v>0.02</v>
      </c>
      <c r="G43" s="2" t="s">
        <v>560</v>
      </c>
      <c r="H43" s="10">
        <v>-7.97</v>
      </c>
      <c r="I43" s="7">
        <v>4.71</v>
      </c>
      <c r="J43" s="7">
        <v>0.7</v>
      </c>
      <c r="K43" s="2" t="s">
        <v>809</v>
      </c>
      <c r="L43" s="16" t="s">
        <v>921</v>
      </c>
      <c r="M43" s="16" t="s">
        <v>921</v>
      </c>
      <c r="N43" s="2" t="s">
        <v>564</v>
      </c>
      <c r="O43" s="2" t="s">
        <v>568</v>
      </c>
      <c r="P43" s="2" t="s">
        <v>580</v>
      </c>
      <c r="Q43" s="1" t="s">
        <v>739</v>
      </c>
      <c r="R43" s="2" t="s">
        <v>584</v>
      </c>
      <c r="S43" s="8">
        <f>B43+1</f>
        <v>41007</v>
      </c>
    </row>
    <row r="44" spans="1:19" x14ac:dyDescent="0.15">
      <c r="A44" s="1">
        <v>4771</v>
      </c>
      <c r="B44" s="6">
        <f>DATE(2012,12,31)-18</f>
        <v>41256</v>
      </c>
      <c r="C44" s="2" t="s">
        <v>917</v>
      </c>
      <c r="D44" s="1">
        <v>4</v>
      </c>
      <c r="E44" s="1">
        <v>135.928</v>
      </c>
      <c r="F44" s="1">
        <v>0.04</v>
      </c>
      <c r="G44" s="2" t="s">
        <v>562</v>
      </c>
      <c r="H44" s="10">
        <v>-126.47</v>
      </c>
      <c r="I44" s="7">
        <v>31.76</v>
      </c>
      <c r="J44" s="7">
        <v>45.51</v>
      </c>
      <c r="K44" s="2" t="s">
        <v>770</v>
      </c>
      <c r="L44" s="16" t="s">
        <v>921</v>
      </c>
      <c r="M44" s="16" t="s">
        <v>921</v>
      </c>
      <c r="N44" s="2" t="s">
        <v>566</v>
      </c>
      <c r="O44" s="2" t="s">
        <v>570</v>
      </c>
      <c r="P44" s="2" t="s">
        <v>578</v>
      </c>
      <c r="Q44" s="1" t="s">
        <v>184</v>
      </c>
      <c r="R44" s="2" t="s">
        <v>588</v>
      </c>
      <c r="S44" s="8">
        <f>B44+2</f>
        <v>41258</v>
      </c>
    </row>
    <row r="45" spans="1:19" x14ac:dyDescent="0.15">
      <c r="A45" s="1">
        <v>4804</v>
      </c>
      <c r="B45" s="6">
        <f>DATE(2012,12,31)-339</f>
        <v>40935</v>
      </c>
      <c r="C45" s="2" t="s">
        <v>913</v>
      </c>
      <c r="D45" s="1">
        <v>13</v>
      </c>
      <c r="E45" s="1">
        <v>463.83</v>
      </c>
      <c r="F45" s="1">
        <v>0</v>
      </c>
      <c r="G45" s="2" t="s">
        <v>560</v>
      </c>
      <c r="H45" s="10">
        <v>103.26</v>
      </c>
      <c r="I45" s="7">
        <v>33.979999999999997</v>
      </c>
      <c r="J45" s="7">
        <v>1.99</v>
      </c>
      <c r="K45" s="2" t="s">
        <v>904</v>
      </c>
      <c r="L45" s="16" t="s">
        <v>921</v>
      </c>
      <c r="M45" s="16" t="s">
        <v>921</v>
      </c>
      <c r="N45" s="2" t="s">
        <v>567</v>
      </c>
      <c r="O45" s="2" t="s">
        <v>569</v>
      </c>
      <c r="P45" s="2" t="s">
        <v>572</v>
      </c>
      <c r="Q45" s="1" t="s">
        <v>702</v>
      </c>
      <c r="R45" s="2" t="s">
        <v>587</v>
      </c>
      <c r="S45" s="8">
        <f>B45+1</f>
        <v>40936</v>
      </c>
    </row>
    <row r="46" spans="1:19" x14ac:dyDescent="0.15">
      <c r="A46" s="1">
        <v>4870</v>
      </c>
      <c r="B46" s="6">
        <f>DATE(2012,12,31)-1244</f>
        <v>40030</v>
      </c>
      <c r="C46" s="2" t="s">
        <v>914</v>
      </c>
      <c r="D46" s="1">
        <v>44</v>
      </c>
      <c r="E46" s="1">
        <v>17248.09</v>
      </c>
      <c r="F46" s="1">
        <v>0.08</v>
      </c>
      <c r="G46" s="2" t="s">
        <v>562</v>
      </c>
      <c r="H46" s="10">
        <v>2048.63</v>
      </c>
      <c r="I46" s="7">
        <v>400.98</v>
      </c>
      <c r="J46" s="7">
        <v>42.52</v>
      </c>
      <c r="K46" s="2" t="s">
        <v>890</v>
      </c>
      <c r="L46" s="16" t="s">
        <v>921</v>
      </c>
      <c r="M46" s="16" t="s">
        <v>921</v>
      </c>
      <c r="N46" s="2" t="s">
        <v>567</v>
      </c>
      <c r="O46" s="2" t="s">
        <v>570</v>
      </c>
      <c r="P46" s="2" t="s">
        <v>578</v>
      </c>
      <c r="Q46" s="1" t="s">
        <v>70</v>
      </c>
      <c r="R46" s="2" t="s">
        <v>588</v>
      </c>
      <c r="S46" s="8">
        <f>B46+1</f>
        <v>40031</v>
      </c>
    </row>
    <row r="47" spans="1:19" x14ac:dyDescent="0.15">
      <c r="A47" s="1">
        <v>4931</v>
      </c>
      <c r="B47" s="6">
        <f>DATE(2012,12,31)-1141</f>
        <v>40133</v>
      </c>
      <c r="C47" s="2" t="s">
        <v>917</v>
      </c>
      <c r="D47" s="1">
        <v>22</v>
      </c>
      <c r="E47" s="1">
        <v>168.31</v>
      </c>
      <c r="F47" s="1">
        <v>0.1</v>
      </c>
      <c r="G47" s="2" t="s">
        <v>560</v>
      </c>
      <c r="H47" s="10">
        <v>46.49</v>
      </c>
      <c r="I47" s="7">
        <v>8.17</v>
      </c>
      <c r="J47" s="7">
        <v>1.69</v>
      </c>
      <c r="K47" s="2" t="s">
        <v>829</v>
      </c>
      <c r="L47" s="16" t="s">
        <v>921</v>
      </c>
      <c r="M47" s="16" t="s">
        <v>921</v>
      </c>
      <c r="N47" s="2" t="s">
        <v>567</v>
      </c>
      <c r="O47" s="2" t="s">
        <v>568</v>
      </c>
      <c r="P47" s="2" t="s">
        <v>573</v>
      </c>
      <c r="Q47" s="1" t="s">
        <v>316</v>
      </c>
      <c r="R47" s="2" t="s">
        <v>584</v>
      </c>
      <c r="S47" s="8">
        <f>B47+0</f>
        <v>40133</v>
      </c>
    </row>
    <row r="48" spans="1:19" x14ac:dyDescent="0.15">
      <c r="A48" s="1">
        <v>4931</v>
      </c>
      <c r="B48" s="6">
        <f>DATE(2012,12,31)-1141</f>
        <v>40133</v>
      </c>
      <c r="C48" s="2" t="s">
        <v>917</v>
      </c>
      <c r="D48" s="1">
        <v>45</v>
      </c>
      <c r="E48" s="1">
        <v>4282.7249999999995</v>
      </c>
      <c r="F48" s="1">
        <v>0.03</v>
      </c>
      <c r="G48" s="2" t="s">
        <v>560</v>
      </c>
      <c r="H48" s="10">
        <v>1371.7440000000001</v>
      </c>
      <c r="I48" s="7">
        <v>110.99</v>
      </c>
      <c r="J48" s="7">
        <v>2.5</v>
      </c>
      <c r="K48" s="2" t="s">
        <v>829</v>
      </c>
      <c r="L48" s="16" t="s">
        <v>921</v>
      </c>
      <c r="M48" s="16" t="s">
        <v>921</v>
      </c>
      <c r="N48" s="2" t="s">
        <v>567</v>
      </c>
      <c r="O48" s="2" t="s">
        <v>569</v>
      </c>
      <c r="P48" s="2" t="s">
        <v>87</v>
      </c>
      <c r="Q48" s="1" t="s">
        <v>473</v>
      </c>
      <c r="R48" s="2" t="s">
        <v>585</v>
      </c>
      <c r="S48" s="8">
        <f>B48+2</f>
        <v>40135</v>
      </c>
    </row>
    <row r="49" spans="1:19" x14ac:dyDescent="0.15">
      <c r="A49" s="1">
        <v>5094</v>
      </c>
      <c r="B49" s="6">
        <f>DATE(2012,12,31)-1009</f>
        <v>40265</v>
      </c>
      <c r="C49" s="2" t="s">
        <v>915</v>
      </c>
      <c r="D49" s="1">
        <v>2</v>
      </c>
      <c r="E49" s="1">
        <v>79.58</v>
      </c>
      <c r="F49" s="1">
        <v>0.06</v>
      </c>
      <c r="G49" s="2" t="s">
        <v>560</v>
      </c>
      <c r="H49" s="10">
        <v>-38.28</v>
      </c>
      <c r="I49" s="7">
        <v>37.44</v>
      </c>
      <c r="J49" s="7">
        <v>4.2699999999999996</v>
      </c>
      <c r="K49" s="2" t="s">
        <v>815</v>
      </c>
      <c r="L49" s="16" t="s">
        <v>921</v>
      </c>
      <c r="M49" s="16" t="s">
        <v>921</v>
      </c>
      <c r="N49" s="2" t="s">
        <v>565</v>
      </c>
      <c r="O49" s="2" t="s">
        <v>568</v>
      </c>
      <c r="P49" s="2" t="s">
        <v>571</v>
      </c>
      <c r="Q49" s="1" t="s">
        <v>60</v>
      </c>
      <c r="R49" s="2" t="s">
        <v>584</v>
      </c>
      <c r="S49" s="8">
        <f>B49+2</f>
        <v>40267</v>
      </c>
    </row>
    <row r="50" spans="1:19" x14ac:dyDescent="0.15">
      <c r="A50" s="1">
        <v>5188</v>
      </c>
      <c r="B50" s="6">
        <f>DATE(2012,12,31)-671</f>
        <v>40603</v>
      </c>
      <c r="C50" s="2" t="s">
        <v>915</v>
      </c>
      <c r="D50" s="1">
        <v>24</v>
      </c>
      <c r="E50" s="1">
        <v>192.8</v>
      </c>
      <c r="F50" s="1">
        <v>0.05</v>
      </c>
      <c r="G50" s="2" t="s">
        <v>560</v>
      </c>
      <c r="H50" s="10">
        <v>31</v>
      </c>
      <c r="I50" s="7">
        <v>8.01</v>
      </c>
      <c r="J50" s="7">
        <v>2.87</v>
      </c>
      <c r="K50" s="2" t="s">
        <v>824</v>
      </c>
      <c r="L50" s="16" t="s">
        <v>921</v>
      </c>
      <c r="M50" s="16" t="s">
        <v>921</v>
      </c>
      <c r="N50" s="2" t="s">
        <v>565</v>
      </c>
      <c r="O50" s="2" t="s">
        <v>568</v>
      </c>
      <c r="P50" s="2" t="s">
        <v>573</v>
      </c>
      <c r="Q50" s="1" t="s">
        <v>385</v>
      </c>
      <c r="R50" s="2" t="s">
        <v>584</v>
      </c>
      <c r="S50" s="8">
        <f>B50+3</f>
        <v>40606</v>
      </c>
    </row>
    <row r="51" spans="1:19" x14ac:dyDescent="0.15">
      <c r="A51" s="1">
        <v>5189</v>
      </c>
      <c r="B51" s="6">
        <f>DATE(2012,12,31)-767</f>
        <v>40507</v>
      </c>
      <c r="C51" s="2" t="s">
        <v>916</v>
      </c>
      <c r="D51" s="1">
        <v>12</v>
      </c>
      <c r="E51" s="1">
        <v>900.06</v>
      </c>
      <c r="F51" s="1">
        <v>0.05</v>
      </c>
      <c r="G51" s="2" t="s">
        <v>560</v>
      </c>
      <c r="H51" s="10">
        <v>-221.12</v>
      </c>
      <c r="I51" s="7">
        <v>73.98</v>
      </c>
      <c r="J51" s="7">
        <v>14.52</v>
      </c>
      <c r="K51" s="2" t="s">
        <v>794</v>
      </c>
      <c r="L51" s="16" t="s">
        <v>921</v>
      </c>
      <c r="M51" s="16" t="s">
        <v>921</v>
      </c>
      <c r="N51" s="2" t="s">
        <v>567</v>
      </c>
      <c r="O51" s="2" t="s">
        <v>569</v>
      </c>
      <c r="P51" s="2" t="s">
        <v>572</v>
      </c>
      <c r="Q51" s="1" t="s">
        <v>705</v>
      </c>
      <c r="R51" s="2" t="s">
        <v>585</v>
      </c>
      <c r="S51" s="8">
        <f>B51+7</f>
        <v>40514</v>
      </c>
    </row>
    <row r="52" spans="1:19" x14ac:dyDescent="0.15">
      <c r="A52" s="1">
        <v>5408</v>
      </c>
      <c r="B52" s="6">
        <f>DATE(2012,12,31)-164</f>
        <v>41110</v>
      </c>
      <c r="C52" s="2" t="s">
        <v>916</v>
      </c>
      <c r="D52" s="1">
        <v>20</v>
      </c>
      <c r="E52" s="1">
        <v>88.82</v>
      </c>
      <c r="F52" s="1">
        <v>0.01</v>
      </c>
      <c r="G52" s="2" t="s">
        <v>560</v>
      </c>
      <c r="H52" s="10">
        <v>38.35</v>
      </c>
      <c r="I52" s="7">
        <v>4.13</v>
      </c>
      <c r="J52" s="7">
        <v>0.5</v>
      </c>
      <c r="K52" s="2" t="s">
        <v>789</v>
      </c>
      <c r="L52" s="16" t="s">
        <v>921</v>
      </c>
      <c r="M52" s="16" t="s">
        <v>921</v>
      </c>
      <c r="N52" s="2" t="s">
        <v>565</v>
      </c>
      <c r="O52" s="2" t="s">
        <v>568</v>
      </c>
      <c r="P52" s="2" t="s">
        <v>582</v>
      </c>
      <c r="Q52" s="1" t="s">
        <v>354</v>
      </c>
      <c r="R52" s="2" t="s">
        <v>585</v>
      </c>
      <c r="S52" s="8">
        <f>B52+7</f>
        <v>41117</v>
      </c>
    </row>
    <row r="53" spans="1:19" x14ac:dyDescent="0.15">
      <c r="A53" s="1">
        <v>5408</v>
      </c>
      <c r="B53" s="6">
        <f>DATE(2012,12,31)-164</f>
        <v>41110</v>
      </c>
      <c r="C53" s="2" t="s">
        <v>916</v>
      </c>
      <c r="D53" s="1">
        <v>11</v>
      </c>
      <c r="E53" s="1">
        <v>2392.23</v>
      </c>
      <c r="F53" s="1">
        <v>0.04</v>
      </c>
      <c r="G53" s="2" t="s">
        <v>560</v>
      </c>
      <c r="H53" s="10">
        <v>1216.74</v>
      </c>
      <c r="I53" s="7">
        <v>209.84</v>
      </c>
      <c r="J53" s="7">
        <v>21.21</v>
      </c>
      <c r="K53" s="2" t="s">
        <v>789</v>
      </c>
      <c r="L53" s="16" t="s">
        <v>921</v>
      </c>
      <c r="M53" s="16" t="s">
        <v>921</v>
      </c>
      <c r="N53" s="2" t="s">
        <v>565</v>
      </c>
      <c r="O53" s="2" t="s">
        <v>570</v>
      </c>
      <c r="P53" s="2" t="s">
        <v>579</v>
      </c>
      <c r="Q53" s="1" t="s">
        <v>706</v>
      </c>
      <c r="R53" s="2" t="s">
        <v>590</v>
      </c>
      <c r="S53" s="8">
        <f>B53+9</f>
        <v>41119</v>
      </c>
    </row>
    <row r="54" spans="1:19" x14ac:dyDescent="0.15">
      <c r="A54" s="1">
        <v>5472</v>
      </c>
      <c r="B54" s="6">
        <f>DATE(2012,12,31)-996</f>
        <v>40278</v>
      </c>
      <c r="C54" s="2" t="s">
        <v>916</v>
      </c>
      <c r="D54" s="1">
        <v>32</v>
      </c>
      <c r="E54" s="1">
        <v>216.08</v>
      </c>
      <c r="F54" s="1">
        <v>0</v>
      </c>
      <c r="G54" s="2" t="s">
        <v>560</v>
      </c>
      <c r="H54" s="10">
        <v>-84.33</v>
      </c>
      <c r="I54" s="7">
        <v>6.48</v>
      </c>
      <c r="J54" s="7">
        <v>6.65</v>
      </c>
      <c r="K54" s="2" t="s">
        <v>912</v>
      </c>
      <c r="L54" s="16" t="s">
        <v>921</v>
      </c>
      <c r="M54" s="16" t="s">
        <v>921</v>
      </c>
      <c r="N54" s="2" t="s">
        <v>567</v>
      </c>
      <c r="O54" s="2" t="s">
        <v>568</v>
      </c>
      <c r="P54" s="2" t="s">
        <v>573</v>
      </c>
      <c r="Q54" s="1" t="s">
        <v>146</v>
      </c>
      <c r="R54" s="2" t="s">
        <v>585</v>
      </c>
      <c r="S54" s="8">
        <f>B54+2</f>
        <v>40280</v>
      </c>
    </row>
    <row r="55" spans="1:19" x14ac:dyDescent="0.15">
      <c r="A55" s="1">
        <v>5472</v>
      </c>
      <c r="B55" s="6">
        <f>DATE(2012,12,31)-996</f>
        <v>40278</v>
      </c>
      <c r="C55" s="2" t="s">
        <v>916</v>
      </c>
      <c r="D55" s="1">
        <v>27</v>
      </c>
      <c r="E55" s="1">
        <v>339.03</v>
      </c>
      <c r="F55" s="1">
        <v>0.09</v>
      </c>
      <c r="G55" s="2" t="s">
        <v>560</v>
      </c>
      <c r="H55" s="10">
        <v>-24.44</v>
      </c>
      <c r="I55" s="7">
        <v>13.48</v>
      </c>
      <c r="J55" s="7">
        <v>4.51</v>
      </c>
      <c r="K55" s="2" t="s">
        <v>912</v>
      </c>
      <c r="L55" s="16" t="s">
        <v>921</v>
      </c>
      <c r="M55" s="16" t="s">
        <v>921</v>
      </c>
      <c r="N55" s="2" t="s">
        <v>567</v>
      </c>
      <c r="O55" s="2" t="s">
        <v>568</v>
      </c>
      <c r="P55" s="2" t="s">
        <v>577</v>
      </c>
      <c r="Q55" s="1" t="s">
        <v>371</v>
      </c>
      <c r="R55" s="2" t="s">
        <v>585</v>
      </c>
      <c r="S55" s="8">
        <f>B55+4</f>
        <v>40282</v>
      </c>
    </row>
    <row r="56" spans="1:19" x14ac:dyDescent="0.15">
      <c r="A56" s="1">
        <v>5472</v>
      </c>
      <c r="B56" s="6">
        <f>DATE(2012,12,31)-996</f>
        <v>40278</v>
      </c>
      <c r="C56" s="2" t="s">
        <v>916</v>
      </c>
      <c r="D56" s="1">
        <v>12</v>
      </c>
      <c r="E56" s="1">
        <v>1098.1490000000001</v>
      </c>
      <c r="F56" s="1">
        <v>0.09</v>
      </c>
      <c r="G56" s="2" t="s">
        <v>560</v>
      </c>
      <c r="H56" s="10">
        <v>-182.97399999999999</v>
      </c>
      <c r="I56" s="7">
        <v>115.99</v>
      </c>
      <c r="J56" s="7">
        <v>5.92</v>
      </c>
      <c r="K56" s="2" t="s">
        <v>912</v>
      </c>
      <c r="L56" s="16" t="s">
        <v>921</v>
      </c>
      <c r="M56" s="16" t="s">
        <v>921</v>
      </c>
      <c r="N56" s="2" t="s">
        <v>567</v>
      </c>
      <c r="O56" s="2" t="s">
        <v>569</v>
      </c>
      <c r="P56" s="2" t="s">
        <v>87</v>
      </c>
      <c r="Q56" s="1" t="s">
        <v>600</v>
      </c>
      <c r="R56" s="2" t="s">
        <v>585</v>
      </c>
      <c r="S56" s="8">
        <f>B56+2</f>
        <v>40280</v>
      </c>
    </row>
    <row r="57" spans="1:19" x14ac:dyDescent="0.15">
      <c r="A57" s="1">
        <v>5702</v>
      </c>
      <c r="B57" s="6">
        <f>DATE(2012,12,31)-847</f>
        <v>40427</v>
      </c>
      <c r="C57" s="2" t="s">
        <v>915</v>
      </c>
      <c r="D57" s="1">
        <v>20</v>
      </c>
      <c r="E57" s="1">
        <v>2039.39</v>
      </c>
      <c r="F57" s="1">
        <v>0.01</v>
      </c>
      <c r="G57" s="2" t="s">
        <v>560</v>
      </c>
      <c r="H57" s="10">
        <v>199.73</v>
      </c>
      <c r="I57" s="7">
        <v>99.99</v>
      </c>
      <c r="J57" s="7">
        <v>19.989999999999998</v>
      </c>
      <c r="K57" s="2" t="s">
        <v>766</v>
      </c>
      <c r="L57" s="16" t="s">
        <v>921</v>
      </c>
      <c r="M57" s="16" t="s">
        <v>921</v>
      </c>
      <c r="N57" s="2" t="s">
        <v>567</v>
      </c>
      <c r="O57" s="2" t="s">
        <v>569</v>
      </c>
      <c r="P57" s="2" t="s">
        <v>572</v>
      </c>
      <c r="Q57" s="1" t="s">
        <v>347</v>
      </c>
      <c r="R57" s="2" t="s">
        <v>585</v>
      </c>
      <c r="S57" s="8">
        <f>B57+2</f>
        <v>40429</v>
      </c>
    </row>
    <row r="58" spans="1:19" x14ac:dyDescent="0.15">
      <c r="A58" s="1">
        <v>5958</v>
      </c>
      <c r="B58" s="6">
        <f>DATE(2012,12,31)-473</f>
        <v>40801</v>
      </c>
      <c r="C58" s="2" t="s">
        <v>914</v>
      </c>
      <c r="D58" s="1">
        <v>3</v>
      </c>
      <c r="E58" s="1">
        <v>2036.97</v>
      </c>
      <c r="F58" s="1">
        <v>0.03</v>
      </c>
      <c r="G58" s="2" t="s">
        <v>560</v>
      </c>
      <c r="H58" s="10">
        <v>-2397.44</v>
      </c>
      <c r="I58" s="7">
        <v>699.99</v>
      </c>
      <c r="J58" s="7">
        <v>24.49</v>
      </c>
      <c r="K58" s="2" t="s">
        <v>829</v>
      </c>
      <c r="L58" s="16" t="s">
        <v>921</v>
      </c>
      <c r="M58" s="16" t="s">
        <v>921</v>
      </c>
      <c r="N58" s="2" t="s">
        <v>565</v>
      </c>
      <c r="O58" s="2" t="s">
        <v>569</v>
      </c>
      <c r="P58" s="2" t="s">
        <v>90</v>
      </c>
      <c r="Q58" s="1" t="s">
        <v>691</v>
      </c>
      <c r="R58" s="2" t="s">
        <v>590</v>
      </c>
      <c r="S58" s="8">
        <f>B58+2</f>
        <v>40803</v>
      </c>
    </row>
    <row r="59" spans="1:19" x14ac:dyDescent="0.15">
      <c r="A59" s="1">
        <v>5958</v>
      </c>
      <c r="B59" s="6">
        <f>DATE(2012,12,31)-473</f>
        <v>40801</v>
      </c>
      <c r="C59" s="2" t="s">
        <v>914</v>
      </c>
      <c r="D59" s="1">
        <v>21</v>
      </c>
      <c r="E59" s="1">
        <v>2629.6640000000002</v>
      </c>
      <c r="F59" s="1">
        <v>0.09</v>
      </c>
      <c r="G59" s="2" t="s">
        <v>562</v>
      </c>
      <c r="H59" s="10">
        <v>27.74</v>
      </c>
      <c r="I59" s="7">
        <v>159.31</v>
      </c>
      <c r="J59" s="7">
        <v>60</v>
      </c>
      <c r="K59" s="2" t="s">
        <v>829</v>
      </c>
      <c r="L59" s="16" t="s">
        <v>921</v>
      </c>
      <c r="M59" s="16" t="s">
        <v>921</v>
      </c>
      <c r="N59" s="2" t="s">
        <v>565</v>
      </c>
      <c r="O59" s="2" t="s">
        <v>570</v>
      </c>
      <c r="P59" s="2" t="s">
        <v>578</v>
      </c>
      <c r="Q59" s="1" t="s">
        <v>523</v>
      </c>
      <c r="R59" s="2" t="s">
        <v>586</v>
      </c>
      <c r="S59" s="8">
        <f>B59+0</f>
        <v>40801</v>
      </c>
    </row>
    <row r="60" spans="1:19" x14ac:dyDescent="0.15">
      <c r="A60" s="1">
        <v>5984</v>
      </c>
      <c r="B60" s="6">
        <f>DATE(2012,12,31)-1293</f>
        <v>39981</v>
      </c>
      <c r="C60" s="2" t="s">
        <v>916</v>
      </c>
      <c r="D60" s="1">
        <v>37</v>
      </c>
      <c r="E60" s="1">
        <v>394.62</v>
      </c>
      <c r="F60" s="1">
        <v>0.06</v>
      </c>
      <c r="G60" s="2" t="s">
        <v>560</v>
      </c>
      <c r="H60" s="10">
        <v>-31.39</v>
      </c>
      <c r="I60" s="7">
        <v>10.89</v>
      </c>
      <c r="J60" s="7">
        <v>4.5</v>
      </c>
      <c r="K60" s="2" t="s">
        <v>874</v>
      </c>
      <c r="L60" s="16" t="s">
        <v>921</v>
      </c>
      <c r="M60" s="16" t="s">
        <v>921</v>
      </c>
      <c r="N60" s="2" t="s">
        <v>566</v>
      </c>
      <c r="O60" s="2" t="s">
        <v>568</v>
      </c>
      <c r="P60" s="2" t="s">
        <v>576</v>
      </c>
      <c r="Q60" s="1" t="s">
        <v>657</v>
      </c>
      <c r="R60" s="2" t="s">
        <v>585</v>
      </c>
      <c r="S60" s="8">
        <f>B60+5</f>
        <v>39986</v>
      </c>
    </row>
    <row r="61" spans="1:19" x14ac:dyDescent="0.15">
      <c r="A61" s="1">
        <v>5984</v>
      </c>
      <c r="B61" s="6">
        <f>DATE(2012,12,31)-1293</f>
        <v>39981</v>
      </c>
      <c r="C61" s="2" t="s">
        <v>916</v>
      </c>
      <c r="D61" s="1">
        <v>42</v>
      </c>
      <c r="E61" s="1">
        <v>464.64</v>
      </c>
      <c r="F61" s="1">
        <v>0.03</v>
      </c>
      <c r="G61" s="2" t="s">
        <v>560</v>
      </c>
      <c r="H61" s="10">
        <v>14.48</v>
      </c>
      <c r="I61" s="7">
        <v>10.64</v>
      </c>
      <c r="J61" s="7">
        <v>5.16</v>
      </c>
      <c r="K61" s="2" t="s">
        <v>874</v>
      </c>
      <c r="L61" s="16" t="s">
        <v>921</v>
      </c>
      <c r="M61" s="16" t="s">
        <v>921</v>
      </c>
      <c r="N61" s="2" t="s">
        <v>566</v>
      </c>
      <c r="O61" s="2" t="s">
        <v>570</v>
      </c>
      <c r="P61" s="2" t="s">
        <v>579</v>
      </c>
      <c r="Q61" s="1" t="s">
        <v>467</v>
      </c>
      <c r="R61" s="2" t="s">
        <v>585</v>
      </c>
      <c r="S61" s="8">
        <f>B61+5</f>
        <v>39986</v>
      </c>
    </row>
    <row r="62" spans="1:19" x14ac:dyDescent="0.15">
      <c r="A62" s="1">
        <v>5984</v>
      </c>
      <c r="B62" s="6">
        <f>DATE(2012,12,31)-1293</f>
        <v>39981</v>
      </c>
      <c r="C62" s="2" t="s">
        <v>916</v>
      </c>
      <c r="D62" s="1">
        <v>11</v>
      </c>
      <c r="E62" s="1">
        <v>96.68</v>
      </c>
      <c r="F62" s="1">
        <v>0.03</v>
      </c>
      <c r="G62" s="2" t="s">
        <v>560</v>
      </c>
      <c r="H62" s="10">
        <v>22.25</v>
      </c>
      <c r="I62" s="7">
        <v>7.96</v>
      </c>
      <c r="J62" s="7">
        <v>4.95</v>
      </c>
      <c r="K62" s="2" t="s">
        <v>874</v>
      </c>
      <c r="L62" s="16" t="s">
        <v>921</v>
      </c>
      <c r="M62" s="16" t="s">
        <v>921</v>
      </c>
      <c r="N62" s="2" t="s">
        <v>566</v>
      </c>
      <c r="O62" s="2" t="s">
        <v>570</v>
      </c>
      <c r="P62" s="2" t="s">
        <v>579</v>
      </c>
      <c r="Q62" s="1" t="s">
        <v>318</v>
      </c>
      <c r="R62" s="2" t="s">
        <v>585</v>
      </c>
      <c r="S62" s="8">
        <f>B62+2</f>
        <v>39983</v>
      </c>
    </row>
    <row r="63" spans="1:19" x14ac:dyDescent="0.15">
      <c r="A63" s="1">
        <v>5989</v>
      </c>
      <c r="B63" s="6">
        <f>DATE(2012,12,31)-444</f>
        <v>40830</v>
      </c>
      <c r="C63" s="2" t="s">
        <v>914</v>
      </c>
      <c r="D63" s="1">
        <v>6</v>
      </c>
      <c r="E63" s="1">
        <v>155.47999999999999</v>
      </c>
      <c r="F63" s="1">
        <v>0.1</v>
      </c>
      <c r="G63" s="2" t="s">
        <v>560</v>
      </c>
      <c r="H63" s="10">
        <v>-6.64</v>
      </c>
      <c r="I63" s="7">
        <v>25.98</v>
      </c>
      <c r="J63" s="7">
        <v>5.37</v>
      </c>
      <c r="K63" s="2" t="s">
        <v>305</v>
      </c>
      <c r="L63" s="16" t="s">
        <v>921</v>
      </c>
      <c r="M63" s="16" t="s">
        <v>921</v>
      </c>
      <c r="N63" s="2" t="s">
        <v>567</v>
      </c>
      <c r="O63" s="2" t="s">
        <v>568</v>
      </c>
      <c r="P63" s="2" t="s">
        <v>576</v>
      </c>
      <c r="Q63" s="1" t="s">
        <v>36</v>
      </c>
      <c r="R63" s="2" t="s">
        <v>589</v>
      </c>
      <c r="S63" s="8">
        <f>B63+2</f>
        <v>40832</v>
      </c>
    </row>
    <row r="64" spans="1:19" x14ac:dyDescent="0.15">
      <c r="A64" s="1">
        <v>5989</v>
      </c>
      <c r="B64" s="6">
        <f>DATE(2012,12,31)-444</f>
        <v>40830</v>
      </c>
      <c r="C64" s="2" t="s">
        <v>914</v>
      </c>
      <c r="D64" s="1">
        <v>21</v>
      </c>
      <c r="E64" s="1">
        <v>56.77</v>
      </c>
      <c r="F64" s="1">
        <v>0.06</v>
      </c>
      <c r="G64" s="2" t="s">
        <v>560</v>
      </c>
      <c r="H64" s="10">
        <v>-3.2</v>
      </c>
      <c r="I64" s="7">
        <v>2.78</v>
      </c>
      <c r="J64" s="7">
        <v>1.34</v>
      </c>
      <c r="K64" s="2" t="s">
        <v>305</v>
      </c>
      <c r="L64" s="16" t="s">
        <v>921</v>
      </c>
      <c r="M64" s="16" t="s">
        <v>921</v>
      </c>
      <c r="N64" s="2" t="s">
        <v>567</v>
      </c>
      <c r="O64" s="2" t="s">
        <v>568</v>
      </c>
      <c r="P64" s="2" t="s">
        <v>571</v>
      </c>
      <c r="Q64" s="1" t="s">
        <v>394</v>
      </c>
      <c r="R64" s="2" t="s">
        <v>584</v>
      </c>
      <c r="S64" s="8">
        <f>B64+1</f>
        <v>40831</v>
      </c>
    </row>
    <row r="65" spans="1:19" x14ac:dyDescent="0.15">
      <c r="A65" s="1">
        <v>5990</v>
      </c>
      <c r="B65" s="6">
        <f>DATE(2012,12,31)-999</f>
        <v>40275</v>
      </c>
      <c r="C65" s="2" t="s">
        <v>917</v>
      </c>
      <c r="D65" s="1">
        <v>9</v>
      </c>
      <c r="E65" s="1">
        <v>63.91</v>
      </c>
      <c r="F65" s="1">
        <v>0.06</v>
      </c>
      <c r="G65" s="2" t="s">
        <v>560</v>
      </c>
      <c r="H65" s="10">
        <v>-27.78</v>
      </c>
      <c r="I65" s="7">
        <v>6.48</v>
      </c>
      <c r="J65" s="7">
        <v>6.35</v>
      </c>
      <c r="K65" s="2" t="s">
        <v>902</v>
      </c>
      <c r="L65" s="16" t="s">
        <v>921</v>
      </c>
      <c r="M65" s="16" t="s">
        <v>921</v>
      </c>
      <c r="N65" s="2" t="s">
        <v>564</v>
      </c>
      <c r="O65" s="2" t="s">
        <v>568</v>
      </c>
      <c r="P65" s="2" t="s">
        <v>573</v>
      </c>
      <c r="Q65" s="1" t="s">
        <v>113</v>
      </c>
      <c r="R65" s="2" t="s">
        <v>585</v>
      </c>
      <c r="S65" s="8">
        <f>B65+1</f>
        <v>40276</v>
      </c>
    </row>
    <row r="66" spans="1:19" x14ac:dyDescent="0.15">
      <c r="A66" s="1">
        <v>6054</v>
      </c>
      <c r="B66" s="6">
        <f>DATE(2012,12,31)-480</f>
        <v>40794</v>
      </c>
      <c r="C66" s="2" t="s">
        <v>916</v>
      </c>
      <c r="D66" s="1">
        <v>6</v>
      </c>
      <c r="E66" s="1">
        <v>27.32</v>
      </c>
      <c r="F66" s="1">
        <v>0.05</v>
      </c>
      <c r="G66" s="2" t="s">
        <v>561</v>
      </c>
      <c r="H66" s="10">
        <v>-5.87</v>
      </c>
      <c r="I66" s="7">
        <v>2.08</v>
      </c>
      <c r="J66" s="7">
        <v>5.33</v>
      </c>
      <c r="K66" s="2" t="s">
        <v>821</v>
      </c>
      <c r="L66" s="16" t="s">
        <v>921</v>
      </c>
      <c r="M66" s="16" t="s">
        <v>921</v>
      </c>
      <c r="N66" s="2" t="s">
        <v>567</v>
      </c>
      <c r="O66" s="2" t="s">
        <v>570</v>
      </c>
      <c r="P66" s="2" t="s">
        <v>579</v>
      </c>
      <c r="Q66" s="1" t="s">
        <v>720</v>
      </c>
      <c r="R66" s="2" t="s">
        <v>585</v>
      </c>
      <c r="S66" s="8">
        <f>B66+2</f>
        <v>40796</v>
      </c>
    </row>
    <row r="67" spans="1:19" x14ac:dyDescent="0.15">
      <c r="A67" s="1">
        <v>6054</v>
      </c>
      <c r="B67" s="6">
        <f>DATE(2012,12,31)-480</f>
        <v>40794</v>
      </c>
      <c r="C67" s="2" t="s">
        <v>916</v>
      </c>
      <c r="D67" s="1">
        <v>43</v>
      </c>
      <c r="E67" s="1">
        <v>643.30999999999995</v>
      </c>
      <c r="F67" s="1">
        <v>0.08</v>
      </c>
      <c r="G67" s="2" t="s">
        <v>561</v>
      </c>
      <c r="H67" s="10">
        <v>-231.34</v>
      </c>
      <c r="I67" s="7">
        <v>15.42</v>
      </c>
      <c r="J67" s="7">
        <v>10.68</v>
      </c>
      <c r="K67" s="2" t="s">
        <v>821</v>
      </c>
      <c r="L67" s="16" t="s">
        <v>921</v>
      </c>
      <c r="M67" s="16" t="s">
        <v>921</v>
      </c>
      <c r="N67" s="2" t="s">
        <v>567</v>
      </c>
      <c r="O67" s="2" t="s">
        <v>568</v>
      </c>
      <c r="P67" s="2" t="s">
        <v>577</v>
      </c>
      <c r="Q67" s="1" t="s">
        <v>638</v>
      </c>
      <c r="R67" s="2" t="s">
        <v>585</v>
      </c>
      <c r="S67" s="8">
        <f>B67+5</f>
        <v>40799</v>
      </c>
    </row>
    <row r="68" spans="1:19" x14ac:dyDescent="0.15">
      <c r="A68" s="1">
        <v>6531</v>
      </c>
      <c r="B68" s="6">
        <f>DATE(2012,12,31)-898</f>
        <v>40376</v>
      </c>
      <c r="C68" s="2" t="s">
        <v>913</v>
      </c>
      <c r="D68" s="1">
        <v>42</v>
      </c>
      <c r="E68" s="1">
        <v>188.23</v>
      </c>
      <c r="F68" s="1">
        <v>0.05</v>
      </c>
      <c r="G68" s="2" t="s">
        <v>560</v>
      </c>
      <c r="H68" s="10">
        <v>-145.1</v>
      </c>
      <c r="I68" s="7">
        <v>4.37</v>
      </c>
      <c r="J68" s="7">
        <v>5.15</v>
      </c>
      <c r="K68" s="2" t="s">
        <v>843</v>
      </c>
      <c r="L68" s="16" t="s">
        <v>921</v>
      </c>
      <c r="M68" s="16" t="s">
        <v>921</v>
      </c>
      <c r="N68" s="2" t="s">
        <v>564</v>
      </c>
      <c r="O68" s="2" t="s">
        <v>568</v>
      </c>
      <c r="P68" s="2" t="s">
        <v>576</v>
      </c>
      <c r="Q68" s="1" t="s">
        <v>286</v>
      </c>
      <c r="R68" s="2" t="s">
        <v>585</v>
      </c>
      <c r="S68" s="8">
        <f>B68+2</f>
        <v>40378</v>
      </c>
    </row>
    <row r="69" spans="1:19" x14ac:dyDescent="0.15">
      <c r="A69" s="1">
        <v>6531</v>
      </c>
      <c r="B69" s="6">
        <f>DATE(2012,12,31)-898</f>
        <v>40376</v>
      </c>
      <c r="C69" s="2" t="s">
        <v>913</v>
      </c>
      <c r="D69" s="1">
        <v>28</v>
      </c>
      <c r="E69" s="1">
        <v>541.95000000000005</v>
      </c>
      <c r="F69" s="1">
        <v>0.06</v>
      </c>
      <c r="G69" s="2" t="s">
        <v>560</v>
      </c>
      <c r="H69" s="10">
        <v>143.04</v>
      </c>
      <c r="I69" s="7">
        <v>19.84</v>
      </c>
      <c r="J69" s="7">
        <v>4.0999999999999996</v>
      </c>
      <c r="K69" s="2" t="s">
        <v>843</v>
      </c>
      <c r="L69" s="16" t="s">
        <v>921</v>
      </c>
      <c r="M69" s="16" t="s">
        <v>921</v>
      </c>
      <c r="N69" s="2" t="s">
        <v>564</v>
      </c>
      <c r="O69" s="2" t="s">
        <v>568</v>
      </c>
      <c r="P69" s="2" t="s">
        <v>571</v>
      </c>
      <c r="Q69" s="1" t="s">
        <v>187</v>
      </c>
      <c r="R69" s="2" t="s">
        <v>584</v>
      </c>
      <c r="S69" s="8">
        <f>B69+2</f>
        <v>40378</v>
      </c>
    </row>
    <row r="70" spans="1:19" x14ac:dyDescent="0.15">
      <c r="A70" s="1">
        <v>6564</v>
      </c>
      <c r="B70" s="6">
        <f>DATE(2012,12,31)-710</f>
        <v>40564</v>
      </c>
      <c r="C70" s="2" t="s">
        <v>916</v>
      </c>
      <c r="D70" s="1">
        <v>26</v>
      </c>
      <c r="E70" s="1">
        <v>448.23</v>
      </c>
      <c r="F70" s="1">
        <v>0.01</v>
      </c>
      <c r="G70" s="2" t="s">
        <v>560</v>
      </c>
      <c r="H70" s="10">
        <v>110.6</v>
      </c>
      <c r="I70" s="7">
        <v>15.98</v>
      </c>
      <c r="J70" s="7">
        <v>4</v>
      </c>
      <c r="K70" s="2" t="s">
        <v>777</v>
      </c>
      <c r="L70" s="16" t="s">
        <v>921</v>
      </c>
      <c r="M70" s="16" t="s">
        <v>921</v>
      </c>
      <c r="N70" s="2" t="s">
        <v>566</v>
      </c>
      <c r="O70" s="2" t="s">
        <v>569</v>
      </c>
      <c r="P70" s="2" t="s">
        <v>572</v>
      </c>
      <c r="Q70" s="1" t="s">
        <v>490</v>
      </c>
      <c r="R70" s="2" t="s">
        <v>585</v>
      </c>
      <c r="S70" s="8">
        <f>B70+0</f>
        <v>40564</v>
      </c>
    </row>
    <row r="71" spans="1:19" x14ac:dyDescent="0.15">
      <c r="A71" s="1">
        <v>6566</v>
      </c>
      <c r="B71" s="6">
        <f>DATE(2012,12,31)-590</f>
        <v>40684</v>
      </c>
      <c r="C71" s="2" t="s">
        <v>917</v>
      </c>
      <c r="D71" s="1">
        <v>21</v>
      </c>
      <c r="E71" s="1">
        <v>748.83</v>
      </c>
      <c r="F71" s="1">
        <v>0.01</v>
      </c>
      <c r="G71" s="2" t="s">
        <v>560</v>
      </c>
      <c r="H71" s="10">
        <v>250.01</v>
      </c>
      <c r="I71" s="7">
        <v>33.979999999999997</v>
      </c>
      <c r="J71" s="7">
        <v>1.99</v>
      </c>
      <c r="K71" s="2" t="s">
        <v>904</v>
      </c>
      <c r="L71" s="16" t="s">
        <v>921</v>
      </c>
      <c r="M71" s="16" t="s">
        <v>921</v>
      </c>
      <c r="N71" s="2" t="s">
        <v>567</v>
      </c>
      <c r="O71" s="2" t="s">
        <v>569</v>
      </c>
      <c r="P71" s="2" t="s">
        <v>572</v>
      </c>
      <c r="Q71" s="1" t="s">
        <v>702</v>
      </c>
      <c r="R71" s="2" t="s">
        <v>587</v>
      </c>
      <c r="S71" s="8">
        <f>B71+0</f>
        <v>40684</v>
      </c>
    </row>
    <row r="72" spans="1:19" x14ac:dyDescent="0.15">
      <c r="A72" s="1">
        <v>6693</v>
      </c>
      <c r="B72" s="6">
        <f>DATE(2012,12,31)-221</f>
        <v>41053</v>
      </c>
      <c r="C72" s="2" t="s">
        <v>917</v>
      </c>
      <c r="D72" s="1">
        <v>16</v>
      </c>
      <c r="E72" s="1">
        <v>40.85</v>
      </c>
      <c r="F72" s="1">
        <v>0.09</v>
      </c>
      <c r="G72" s="2" t="s">
        <v>560</v>
      </c>
      <c r="H72" s="10">
        <v>6.46</v>
      </c>
      <c r="I72" s="7">
        <v>2.62</v>
      </c>
      <c r="J72" s="7">
        <v>0.8</v>
      </c>
      <c r="K72" s="2" t="s">
        <v>878</v>
      </c>
      <c r="L72" s="16" t="s">
        <v>921</v>
      </c>
      <c r="M72" s="16" t="s">
        <v>921</v>
      </c>
      <c r="N72" s="2" t="s">
        <v>567</v>
      </c>
      <c r="O72" s="2" t="s">
        <v>568</v>
      </c>
      <c r="P72" s="2" t="s">
        <v>580</v>
      </c>
      <c r="Q72" s="1" t="s">
        <v>18</v>
      </c>
      <c r="R72" s="2" t="s">
        <v>584</v>
      </c>
      <c r="S72" s="8">
        <f>B72+2</f>
        <v>41055</v>
      </c>
    </row>
    <row r="73" spans="1:19" x14ac:dyDescent="0.15">
      <c r="A73" s="1">
        <v>6753</v>
      </c>
      <c r="B73" s="6">
        <f>DATE(2012,12,31)-827</f>
        <v>40447</v>
      </c>
      <c r="C73" s="2" t="s">
        <v>916</v>
      </c>
      <c r="D73" s="1">
        <v>7</v>
      </c>
      <c r="E73" s="1">
        <v>53.14</v>
      </c>
      <c r="F73" s="1">
        <v>0.04</v>
      </c>
      <c r="G73" s="2" t="s">
        <v>560</v>
      </c>
      <c r="H73" s="10">
        <v>14.57</v>
      </c>
      <c r="I73" s="7">
        <v>6.64</v>
      </c>
      <c r="J73" s="7">
        <v>4.95</v>
      </c>
      <c r="K73" s="2" t="s">
        <v>790</v>
      </c>
      <c r="L73" s="16" t="s">
        <v>921</v>
      </c>
      <c r="M73" s="16" t="s">
        <v>921</v>
      </c>
      <c r="N73" s="2" t="s">
        <v>565</v>
      </c>
      <c r="O73" s="2" t="s">
        <v>570</v>
      </c>
      <c r="P73" s="2" t="s">
        <v>579</v>
      </c>
      <c r="Q73" s="1" t="s">
        <v>751</v>
      </c>
      <c r="R73" s="2" t="s">
        <v>587</v>
      </c>
      <c r="S73" s="8">
        <f>B73+2</f>
        <v>40449</v>
      </c>
    </row>
    <row r="74" spans="1:19" x14ac:dyDescent="0.15">
      <c r="A74" s="1">
        <v>6788</v>
      </c>
      <c r="B74" s="6">
        <f>DATE(2012,12,31)-515</f>
        <v>40759</v>
      </c>
      <c r="C74" s="2" t="s">
        <v>915</v>
      </c>
      <c r="D74" s="1">
        <v>41</v>
      </c>
      <c r="E74" s="1">
        <v>127.84</v>
      </c>
      <c r="F74" s="1">
        <v>0.02</v>
      </c>
      <c r="G74" s="2" t="s">
        <v>561</v>
      </c>
      <c r="H74" s="10">
        <v>12.69</v>
      </c>
      <c r="I74" s="7">
        <v>2.94</v>
      </c>
      <c r="J74" s="7">
        <v>0.96</v>
      </c>
      <c r="K74" s="2" t="s">
        <v>789</v>
      </c>
      <c r="L74" s="16" t="s">
        <v>921</v>
      </c>
      <c r="M74" s="16" t="s">
        <v>921</v>
      </c>
      <c r="N74" s="2" t="s">
        <v>565</v>
      </c>
      <c r="O74" s="2" t="s">
        <v>568</v>
      </c>
      <c r="P74" s="2" t="s">
        <v>571</v>
      </c>
      <c r="Q74" s="1" t="s">
        <v>701</v>
      </c>
      <c r="R74" s="2" t="s">
        <v>584</v>
      </c>
      <c r="S74" s="8">
        <f>B74+2</f>
        <v>40761</v>
      </c>
    </row>
    <row r="75" spans="1:19" x14ac:dyDescent="0.15">
      <c r="A75" s="1">
        <v>6788</v>
      </c>
      <c r="B75" s="6">
        <f>DATE(2012,12,31)-515</f>
        <v>40759</v>
      </c>
      <c r="C75" s="2" t="s">
        <v>915</v>
      </c>
      <c r="D75" s="1">
        <v>6</v>
      </c>
      <c r="E75" s="1">
        <v>11.15</v>
      </c>
      <c r="F75" s="1">
        <v>7.0000000000000007E-2</v>
      </c>
      <c r="G75" s="2" t="s">
        <v>560</v>
      </c>
      <c r="H75" s="10">
        <v>-2.62</v>
      </c>
      <c r="I75" s="7">
        <v>1.81</v>
      </c>
      <c r="J75" s="7">
        <v>0.75</v>
      </c>
      <c r="K75" s="2" t="s">
        <v>789</v>
      </c>
      <c r="L75" s="16" t="s">
        <v>921</v>
      </c>
      <c r="M75" s="16" t="s">
        <v>921</v>
      </c>
      <c r="N75" s="2" t="s">
        <v>565</v>
      </c>
      <c r="O75" s="2" t="s">
        <v>568</v>
      </c>
      <c r="P75" s="2" t="s">
        <v>580</v>
      </c>
      <c r="Q75" s="1" t="s">
        <v>654</v>
      </c>
      <c r="R75" s="2" t="s">
        <v>584</v>
      </c>
      <c r="S75" s="8">
        <f>B75+1</f>
        <v>40760</v>
      </c>
    </row>
    <row r="76" spans="1:19" x14ac:dyDescent="0.15">
      <c r="A76" s="1">
        <v>6880</v>
      </c>
      <c r="B76" s="6">
        <f>DATE(2012,12,31)-1316</f>
        <v>39958</v>
      </c>
      <c r="C76" s="2" t="s">
        <v>914</v>
      </c>
      <c r="D76" s="1">
        <v>5</v>
      </c>
      <c r="E76" s="1">
        <v>235.49</v>
      </c>
      <c r="F76" s="1">
        <v>0.06</v>
      </c>
      <c r="G76" s="2" t="s">
        <v>560</v>
      </c>
      <c r="H76" s="10">
        <v>21.78</v>
      </c>
      <c r="I76" s="7">
        <v>47.9</v>
      </c>
      <c r="J76" s="7">
        <v>5.86</v>
      </c>
      <c r="K76" s="2" t="s">
        <v>771</v>
      </c>
      <c r="L76" s="16" t="s">
        <v>921</v>
      </c>
      <c r="M76" s="16" t="s">
        <v>921</v>
      </c>
      <c r="N76" s="2" t="s">
        <v>566</v>
      </c>
      <c r="O76" s="2" t="s">
        <v>568</v>
      </c>
      <c r="P76" s="2" t="s">
        <v>573</v>
      </c>
      <c r="Q76" s="1" t="s">
        <v>192</v>
      </c>
      <c r="R76" s="2" t="s">
        <v>585</v>
      </c>
      <c r="S76" s="8">
        <f>B76+2</f>
        <v>39960</v>
      </c>
    </row>
    <row r="77" spans="1:19" x14ac:dyDescent="0.15">
      <c r="A77" s="1">
        <v>6886</v>
      </c>
      <c r="B77" s="6">
        <f>DATE(2012,12,31)-347</f>
        <v>40927</v>
      </c>
      <c r="C77" s="2" t="s">
        <v>913</v>
      </c>
      <c r="D77" s="1">
        <v>46</v>
      </c>
      <c r="E77" s="1">
        <v>8177.07</v>
      </c>
      <c r="F77" s="1">
        <v>0.08</v>
      </c>
      <c r="G77" s="2" t="s">
        <v>560</v>
      </c>
      <c r="H77" s="10">
        <v>2385.3000000000002</v>
      </c>
      <c r="I77" s="7">
        <v>178.47</v>
      </c>
      <c r="J77" s="7">
        <v>19.989999999999998</v>
      </c>
      <c r="K77" s="2" t="s">
        <v>881</v>
      </c>
      <c r="L77" s="16" t="s">
        <v>921</v>
      </c>
      <c r="M77" s="16" t="s">
        <v>921</v>
      </c>
      <c r="N77" s="2" t="s">
        <v>566</v>
      </c>
      <c r="O77" s="2" t="s">
        <v>568</v>
      </c>
      <c r="P77" s="2" t="s">
        <v>577</v>
      </c>
      <c r="Q77" s="1" t="s">
        <v>535</v>
      </c>
      <c r="R77" s="2" t="s">
        <v>585</v>
      </c>
      <c r="S77" s="8">
        <f>B77+1</f>
        <v>40928</v>
      </c>
    </row>
    <row r="78" spans="1:19" x14ac:dyDescent="0.15">
      <c r="A78" s="1">
        <v>7042</v>
      </c>
      <c r="B78" s="6">
        <f>DATE(2012,12,31)-358</f>
        <v>40916</v>
      </c>
      <c r="C78" s="2" t="s">
        <v>914</v>
      </c>
      <c r="D78" s="1">
        <v>4</v>
      </c>
      <c r="E78" s="1">
        <v>1187.864</v>
      </c>
      <c r="F78" s="1">
        <v>7.0000000000000007E-2</v>
      </c>
      <c r="G78" s="2" t="s">
        <v>562</v>
      </c>
      <c r="H78" s="10">
        <v>-347.16</v>
      </c>
      <c r="I78" s="7">
        <v>376.13</v>
      </c>
      <c r="J78" s="7">
        <v>85.63</v>
      </c>
      <c r="K78" s="2" t="s">
        <v>830</v>
      </c>
      <c r="L78" s="16" t="s">
        <v>921</v>
      </c>
      <c r="M78" s="16" t="s">
        <v>921</v>
      </c>
      <c r="N78" s="2" t="s">
        <v>564</v>
      </c>
      <c r="O78" s="2" t="s">
        <v>570</v>
      </c>
      <c r="P78" s="2" t="s">
        <v>578</v>
      </c>
      <c r="Q78" s="1" t="s">
        <v>298</v>
      </c>
      <c r="R78" s="2" t="s">
        <v>588</v>
      </c>
      <c r="S78" s="8">
        <f>B78+2</f>
        <v>40918</v>
      </c>
    </row>
    <row r="79" spans="1:19" x14ac:dyDescent="0.15">
      <c r="A79" s="1">
        <v>7043</v>
      </c>
      <c r="B79" s="6">
        <f>DATE(2012,12,31)-1436</f>
        <v>39838</v>
      </c>
      <c r="C79" s="2" t="s">
        <v>917</v>
      </c>
      <c r="D79" s="1">
        <v>4</v>
      </c>
      <c r="E79" s="1">
        <v>11.08</v>
      </c>
      <c r="F79" s="1">
        <v>0.06</v>
      </c>
      <c r="G79" s="2" t="s">
        <v>560</v>
      </c>
      <c r="H79" s="10">
        <v>-8.93</v>
      </c>
      <c r="I79" s="7">
        <v>1.74</v>
      </c>
      <c r="J79" s="7">
        <v>4.08</v>
      </c>
      <c r="K79" s="2" t="s">
        <v>829</v>
      </c>
      <c r="L79" s="16" t="s">
        <v>921</v>
      </c>
      <c r="M79" s="16" t="s">
        <v>921</v>
      </c>
      <c r="N79" s="2" t="s">
        <v>567</v>
      </c>
      <c r="O79" s="2" t="s">
        <v>570</v>
      </c>
      <c r="P79" s="2" t="s">
        <v>579</v>
      </c>
      <c r="Q79" s="1" t="s">
        <v>674</v>
      </c>
      <c r="R79" s="2" t="s">
        <v>587</v>
      </c>
      <c r="S79" s="8">
        <f>B79+1</f>
        <v>39839</v>
      </c>
    </row>
    <row r="80" spans="1:19" x14ac:dyDescent="0.15">
      <c r="A80" s="1">
        <v>7174</v>
      </c>
      <c r="B80" s="6">
        <f>DATE(2012,12,31)-296</f>
        <v>40978</v>
      </c>
      <c r="C80" s="2" t="s">
        <v>915</v>
      </c>
      <c r="D80" s="1">
        <v>10</v>
      </c>
      <c r="E80" s="1">
        <v>141.91999999999999</v>
      </c>
      <c r="F80" s="1">
        <v>0.06</v>
      </c>
      <c r="G80" s="2" t="s">
        <v>560</v>
      </c>
      <c r="H80" s="10">
        <v>12.2</v>
      </c>
      <c r="I80" s="7">
        <v>13.73</v>
      </c>
      <c r="J80" s="7">
        <v>8.99</v>
      </c>
      <c r="K80" s="2" t="s">
        <v>869</v>
      </c>
      <c r="L80" s="16" t="s">
        <v>921</v>
      </c>
      <c r="M80" s="16" t="s">
        <v>921</v>
      </c>
      <c r="N80" s="2" t="s">
        <v>566</v>
      </c>
      <c r="O80" s="2" t="s">
        <v>570</v>
      </c>
      <c r="P80" s="2" t="s">
        <v>579</v>
      </c>
      <c r="Q80" s="1" t="s">
        <v>434</v>
      </c>
      <c r="R80" s="2" t="s">
        <v>587</v>
      </c>
      <c r="S80" s="8">
        <f>B80+2</f>
        <v>40980</v>
      </c>
    </row>
    <row r="81" spans="1:19" x14ac:dyDescent="0.15">
      <c r="A81" s="1">
        <v>7458</v>
      </c>
      <c r="B81" s="6">
        <f>DATE(2012,12,31)-271</f>
        <v>41003</v>
      </c>
      <c r="C81" s="2" t="s">
        <v>917</v>
      </c>
      <c r="D81" s="1">
        <v>9</v>
      </c>
      <c r="E81" s="1">
        <v>337.34</v>
      </c>
      <c r="F81" s="1">
        <v>0.06</v>
      </c>
      <c r="G81" s="2" t="s">
        <v>560</v>
      </c>
      <c r="H81" s="10">
        <v>-69.84</v>
      </c>
      <c r="I81" s="7">
        <v>39.479999999999997</v>
      </c>
      <c r="J81" s="7">
        <v>1.99</v>
      </c>
      <c r="K81" s="2" t="s">
        <v>842</v>
      </c>
      <c r="L81" s="16" t="s">
        <v>921</v>
      </c>
      <c r="M81" s="16" t="s">
        <v>921</v>
      </c>
      <c r="N81" s="2" t="s">
        <v>567</v>
      </c>
      <c r="O81" s="2" t="s">
        <v>569</v>
      </c>
      <c r="P81" s="2" t="s">
        <v>572</v>
      </c>
      <c r="Q81" s="1" t="s">
        <v>271</v>
      </c>
      <c r="R81" s="2" t="s">
        <v>587</v>
      </c>
      <c r="S81" s="8">
        <f>B81+2</f>
        <v>41005</v>
      </c>
    </row>
    <row r="82" spans="1:19" x14ac:dyDescent="0.15">
      <c r="A82" s="1">
        <v>7812</v>
      </c>
      <c r="B82" s="6">
        <f>DATE(2012,12,31)-621</f>
        <v>40653</v>
      </c>
      <c r="C82" s="2" t="s">
        <v>916</v>
      </c>
      <c r="D82" s="1">
        <v>17</v>
      </c>
      <c r="E82" s="1">
        <v>475.9</v>
      </c>
      <c r="F82" s="1">
        <v>0.04</v>
      </c>
      <c r="G82" s="2" t="s">
        <v>560</v>
      </c>
      <c r="H82" s="10">
        <v>-5.1799999999999926</v>
      </c>
      <c r="I82" s="7">
        <v>27.42</v>
      </c>
      <c r="J82" s="7">
        <v>19.46</v>
      </c>
      <c r="K82" s="2" t="s">
        <v>912</v>
      </c>
      <c r="L82" s="16" t="s">
        <v>921</v>
      </c>
      <c r="M82" s="16" t="s">
        <v>921</v>
      </c>
      <c r="N82" s="2" t="s">
        <v>567</v>
      </c>
      <c r="O82" s="2" t="s">
        <v>570</v>
      </c>
      <c r="P82" s="2" t="s">
        <v>579</v>
      </c>
      <c r="Q82" s="1" t="s">
        <v>30</v>
      </c>
      <c r="R82" s="2" t="s">
        <v>585</v>
      </c>
      <c r="S82" s="8">
        <f>B82+7</f>
        <v>40660</v>
      </c>
    </row>
    <row r="83" spans="1:19" x14ac:dyDescent="0.15">
      <c r="A83" s="1">
        <v>7812</v>
      </c>
      <c r="B83" s="6">
        <f>DATE(2012,12,31)-621</f>
        <v>40653</v>
      </c>
      <c r="C83" s="2" t="s">
        <v>916</v>
      </c>
      <c r="D83" s="1">
        <v>12</v>
      </c>
      <c r="E83" s="1">
        <v>3635.63</v>
      </c>
      <c r="F83" s="1">
        <v>0.09</v>
      </c>
      <c r="G83" s="2" t="s">
        <v>562</v>
      </c>
      <c r="H83" s="10">
        <v>104.48</v>
      </c>
      <c r="I83" s="7">
        <v>320.64</v>
      </c>
      <c r="J83" s="7">
        <v>29.2</v>
      </c>
      <c r="K83" s="2" t="s">
        <v>912</v>
      </c>
      <c r="L83" s="16" t="s">
        <v>921</v>
      </c>
      <c r="M83" s="16" t="s">
        <v>921</v>
      </c>
      <c r="N83" s="2" t="s">
        <v>567</v>
      </c>
      <c r="O83" s="2" t="s">
        <v>570</v>
      </c>
      <c r="P83" s="2" t="s">
        <v>578</v>
      </c>
      <c r="Q83" s="1" t="s">
        <v>392</v>
      </c>
      <c r="R83" s="2" t="s">
        <v>588</v>
      </c>
      <c r="S83" s="8">
        <f>B83+2</f>
        <v>40655</v>
      </c>
    </row>
    <row r="84" spans="1:19" x14ac:dyDescent="0.15">
      <c r="A84" s="1">
        <v>7840</v>
      </c>
      <c r="B84" s="6">
        <f>DATE(2012,12,31)-723</f>
        <v>40551</v>
      </c>
      <c r="C84" s="2" t="s">
        <v>916</v>
      </c>
      <c r="D84" s="1">
        <v>34</v>
      </c>
      <c r="E84" s="1">
        <v>157.56</v>
      </c>
      <c r="F84" s="1">
        <v>0.1</v>
      </c>
      <c r="G84" s="2" t="s">
        <v>560</v>
      </c>
      <c r="H84" s="10">
        <v>-139.35</v>
      </c>
      <c r="I84" s="7">
        <v>4.8899999999999997</v>
      </c>
      <c r="J84" s="7">
        <v>4.93</v>
      </c>
      <c r="K84" s="2" t="s">
        <v>771</v>
      </c>
      <c r="L84" s="16" t="s">
        <v>921</v>
      </c>
      <c r="M84" s="16" t="s">
        <v>921</v>
      </c>
      <c r="N84" s="2" t="s">
        <v>566</v>
      </c>
      <c r="O84" s="2" t="s">
        <v>569</v>
      </c>
      <c r="P84" s="2" t="s">
        <v>572</v>
      </c>
      <c r="Q84" s="1" t="s">
        <v>386</v>
      </c>
      <c r="R84" s="2" t="s">
        <v>587</v>
      </c>
      <c r="S84" s="8">
        <f>B84+4</f>
        <v>40555</v>
      </c>
    </row>
    <row r="85" spans="1:19" x14ac:dyDescent="0.15">
      <c r="A85" s="1">
        <v>7938</v>
      </c>
      <c r="B85" s="6">
        <f>DATE(2012,12,31)-1024</f>
        <v>40250</v>
      </c>
      <c r="C85" s="2" t="s">
        <v>914</v>
      </c>
      <c r="D85" s="1">
        <v>16</v>
      </c>
      <c r="E85" s="1">
        <v>2026.05</v>
      </c>
      <c r="F85" s="1">
        <v>0.1</v>
      </c>
      <c r="G85" s="2" t="s">
        <v>562</v>
      </c>
      <c r="H85" s="10">
        <v>-357.65</v>
      </c>
      <c r="I85" s="7">
        <v>135.99</v>
      </c>
      <c r="J85" s="7">
        <v>28.63</v>
      </c>
      <c r="K85" s="2" t="s">
        <v>877</v>
      </c>
      <c r="L85" s="16" t="s">
        <v>921</v>
      </c>
      <c r="M85" s="16" t="s">
        <v>921</v>
      </c>
      <c r="N85" s="2" t="s">
        <v>567</v>
      </c>
      <c r="O85" s="2" t="s">
        <v>570</v>
      </c>
      <c r="P85" s="2" t="s">
        <v>574</v>
      </c>
      <c r="Q85" s="1" t="s">
        <v>550</v>
      </c>
      <c r="R85" s="2" t="s">
        <v>586</v>
      </c>
      <c r="S85" s="8">
        <f t="shared" ref="S85:S92" si="0">B85+2</f>
        <v>40252</v>
      </c>
    </row>
    <row r="86" spans="1:19" x14ac:dyDescent="0.15">
      <c r="A86" s="1">
        <v>8001</v>
      </c>
      <c r="B86" s="6">
        <f>DATE(2012,12,31)-773</f>
        <v>40501</v>
      </c>
      <c r="C86" s="2" t="s">
        <v>913</v>
      </c>
      <c r="D86" s="1">
        <v>15</v>
      </c>
      <c r="E86" s="1">
        <v>37.700000000000003</v>
      </c>
      <c r="F86" s="1">
        <v>0.1</v>
      </c>
      <c r="G86" s="2" t="s">
        <v>560</v>
      </c>
      <c r="H86" s="10">
        <v>-81.08</v>
      </c>
      <c r="I86" s="7">
        <v>2.1800000000000002</v>
      </c>
      <c r="J86" s="7">
        <v>7.09</v>
      </c>
      <c r="K86" s="2" t="s">
        <v>776</v>
      </c>
      <c r="L86" s="16" t="s">
        <v>921</v>
      </c>
      <c r="M86" s="16" t="s">
        <v>921</v>
      </c>
      <c r="N86" s="2" t="s">
        <v>566</v>
      </c>
      <c r="O86" s="2" t="s">
        <v>568</v>
      </c>
      <c r="P86" s="2" t="s">
        <v>573</v>
      </c>
      <c r="Q86" s="1" t="s">
        <v>248</v>
      </c>
      <c r="R86" s="2" t="s">
        <v>584</v>
      </c>
      <c r="S86" s="8">
        <f t="shared" si="0"/>
        <v>40503</v>
      </c>
    </row>
    <row r="87" spans="1:19" x14ac:dyDescent="0.15">
      <c r="A87" s="1">
        <v>8001</v>
      </c>
      <c r="B87" s="6">
        <f>DATE(2012,12,31)-773</f>
        <v>40501</v>
      </c>
      <c r="C87" s="2" t="s">
        <v>913</v>
      </c>
      <c r="D87" s="1">
        <v>47</v>
      </c>
      <c r="E87" s="1">
        <v>1059.72</v>
      </c>
      <c r="F87" s="1">
        <v>0.01</v>
      </c>
      <c r="G87" s="2" t="s">
        <v>560</v>
      </c>
      <c r="H87" s="10">
        <v>112.22</v>
      </c>
      <c r="I87" s="7">
        <v>20.98</v>
      </c>
      <c r="J87" s="7">
        <v>5.42</v>
      </c>
      <c r="K87" s="2" t="s">
        <v>776</v>
      </c>
      <c r="L87" s="16" t="s">
        <v>921</v>
      </c>
      <c r="M87" s="16" t="s">
        <v>921</v>
      </c>
      <c r="N87" s="2" t="s">
        <v>566</v>
      </c>
      <c r="O87" s="2" t="s">
        <v>568</v>
      </c>
      <c r="P87" s="2" t="s">
        <v>577</v>
      </c>
      <c r="Q87" s="1" t="s">
        <v>249</v>
      </c>
      <c r="R87" s="2" t="s">
        <v>585</v>
      </c>
      <c r="S87" s="8">
        <f t="shared" si="0"/>
        <v>40503</v>
      </c>
    </row>
    <row r="88" spans="1:19" x14ac:dyDescent="0.15">
      <c r="A88" s="1">
        <v>8101</v>
      </c>
      <c r="B88" s="6">
        <f>DATE(2012,12,31)-1033</f>
        <v>40241</v>
      </c>
      <c r="C88" s="2" t="s">
        <v>914</v>
      </c>
      <c r="D88" s="1">
        <v>35</v>
      </c>
      <c r="E88" s="1">
        <v>3491.71</v>
      </c>
      <c r="F88" s="1">
        <v>0.04</v>
      </c>
      <c r="G88" s="2" t="s">
        <v>562</v>
      </c>
      <c r="H88" s="10">
        <v>-1216.6400000000001</v>
      </c>
      <c r="I88" s="7">
        <v>95.95</v>
      </c>
      <c r="J88" s="7">
        <v>74.349999999999994</v>
      </c>
      <c r="K88" s="2" t="s">
        <v>881</v>
      </c>
      <c r="L88" s="16" t="s">
        <v>921</v>
      </c>
      <c r="M88" s="16" t="s">
        <v>921</v>
      </c>
      <c r="N88" s="2" t="s">
        <v>566</v>
      </c>
      <c r="O88" s="2" t="s">
        <v>570</v>
      </c>
      <c r="P88" s="2" t="s">
        <v>574</v>
      </c>
      <c r="Q88" s="1" t="s">
        <v>221</v>
      </c>
      <c r="R88" s="2" t="s">
        <v>586</v>
      </c>
      <c r="S88" s="8">
        <f t="shared" si="0"/>
        <v>40243</v>
      </c>
    </row>
    <row r="89" spans="1:19" x14ac:dyDescent="0.15">
      <c r="A89" s="1">
        <v>8101</v>
      </c>
      <c r="B89" s="6">
        <f>DATE(2012,12,31)-1033</f>
        <v>40241</v>
      </c>
      <c r="C89" s="2" t="s">
        <v>914</v>
      </c>
      <c r="D89" s="1">
        <v>15</v>
      </c>
      <c r="E89" s="1">
        <v>485.16</v>
      </c>
      <c r="F89" s="1">
        <v>0.1</v>
      </c>
      <c r="G89" s="2" t="s">
        <v>560</v>
      </c>
      <c r="H89" s="10">
        <v>-9.3199999999999932</v>
      </c>
      <c r="I89" s="7">
        <v>34.58</v>
      </c>
      <c r="J89" s="7">
        <v>8.99</v>
      </c>
      <c r="K89" s="2" t="s">
        <v>881</v>
      </c>
      <c r="L89" s="16" t="s">
        <v>921</v>
      </c>
      <c r="M89" s="16" t="s">
        <v>921</v>
      </c>
      <c r="N89" s="2" t="s">
        <v>566</v>
      </c>
      <c r="O89" s="2" t="s">
        <v>568</v>
      </c>
      <c r="P89" s="2" t="s">
        <v>571</v>
      </c>
      <c r="Q89" s="1" t="s">
        <v>129</v>
      </c>
      <c r="R89" s="2" t="s">
        <v>587</v>
      </c>
      <c r="S89" s="8">
        <f t="shared" si="0"/>
        <v>40243</v>
      </c>
    </row>
    <row r="90" spans="1:19" x14ac:dyDescent="0.15">
      <c r="A90" s="1">
        <v>8161</v>
      </c>
      <c r="B90" s="6">
        <f>DATE(2012,12,31)-1307</f>
        <v>39967</v>
      </c>
      <c r="C90" s="2" t="s">
        <v>913</v>
      </c>
      <c r="D90" s="1">
        <v>45</v>
      </c>
      <c r="E90" s="1">
        <v>112.72</v>
      </c>
      <c r="F90" s="1">
        <v>0.09</v>
      </c>
      <c r="G90" s="2" t="s">
        <v>560</v>
      </c>
      <c r="H90" s="10">
        <v>39.19</v>
      </c>
      <c r="I90" s="7">
        <v>2.61</v>
      </c>
      <c r="J90" s="7">
        <v>0.5</v>
      </c>
      <c r="K90" s="2" t="s">
        <v>829</v>
      </c>
      <c r="L90" s="16" t="s">
        <v>921</v>
      </c>
      <c r="M90" s="16" t="s">
        <v>921</v>
      </c>
      <c r="N90" s="2" t="s">
        <v>566</v>
      </c>
      <c r="O90" s="2" t="s">
        <v>568</v>
      </c>
      <c r="P90" s="2" t="s">
        <v>582</v>
      </c>
      <c r="Q90" s="1" t="s">
        <v>220</v>
      </c>
      <c r="R90" s="2" t="s">
        <v>585</v>
      </c>
      <c r="S90" s="8">
        <f t="shared" si="0"/>
        <v>39969</v>
      </c>
    </row>
    <row r="91" spans="1:19" x14ac:dyDescent="0.15">
      <c r="A91" s="1">
        <v>8320</v>
      </c>
      <c r="B91" s="6">
        <f>DATE(2012,12,31)-1199</f>
        <v>40075</v>
      </c>
      <c r="C91" s="2" t="s">
        <v>915</v>
      </c>
      <c r="D91" s="1">
        <v>22</v>
      </c>
      <c r="E91" s="1">
        <v>150.34</v>
      </c>
      <c r="F91" s="1">
        <v>0.06</v>
      </c>
      <c r="G91" s="2" t="s">
        <v>561</v>
      </c>
      <c r="H91" s="10">
        <v>-28.45</v>
      </c>
      <c r="I91" s="7">
        <v>6.48</v>
      </c>
      <c r="J91" s="7">
        <v>5.14</v>
      </c>
      <c r="K91" s="2" t="s">
        <v>912</v>
      </c>
      <c r="L91" s="16" t="s">
        <v>921</v>
      </c>
      <c r="M91" s="16" t="s">
        <v>921</v>
      </c>
      <c r="N91" s="2" t="s">
        <v>564</v>
      </c>
      <c r="O91" s="2" t="s">
        <v>568</v>
      </c>
      <c r="P91" s="2" t="s">
        <v>573</v>
      </c>
      <c r="Q91" s="1" t="s">
        <v>608</v>
      </c>
      <c r="R91" s="2" t="s">
        <v>585</v>
      </c>
      <c r="S91" s="8">
        <f t="shared" si="0"/>
        <v>40077</v>
      </c>
    </row>
    <row r="92" spans="1:19" x14ac:dyDescent="0.15">
      <c r="A92" s="1">
        <v>8325</v>
      </c>
      <c r="B92" s="6">
        <f>DATE(2012,12,31)-1447</f>
        <v>39827</v>
      </c>
      <c r="C92" s="2" t="s">
        <v>917</v>
      </c>
      <c r="D92" s="1">
        <v>21</v>
      </c>
      <c r="E92" s="1">
        <v>2364.29</v>
      </c>
      <c r="F92" s="1">
        <v>0.08</v>
      </c>
      <c r="G92" s="2" t="s">
        <v>562</v>
      </c>
      <c r="H92" s="10">
        <v>-220.04910000000001</v>
      </c>
      <c r="I92" s="7">
        <v>115.99</v>
      </c>
      <c r="J92" s="7">
        <v>56.14</v>
      </c>
      <c r="K92" s="2" t="s">
        <v>125</v>
      </c>
      <c r="L92" s="16" t="s">
        <v>921</v>
      </c>
      <c r="M92" s="16" t="s">
        <v>921</v>
      </c>
      <c r="N92" s="2" t="s">
        <v>564</v>
      </c>
      <c r="O92" s="2" t="s">
        <v>569</v>
      </c>
      <c r="P92" s="2" t="s">
        <v>583</v>
      </c>
      <c r="Q92" s="1" t="s">
        <v>33</v>
      </c>
      <c r="R92" s="2" t="s">
        <v>586</v>
      </c>
      <c r="S92" s="8">
        <f t="shared" si="0"/>
        <v>39829</v>
      </c>
    </row>
    <row r="93" spans="1:19" x14ac:dyDescent="0.15">
      <c r="A93" s="1">
        <v>8325</v>
      </c>
      <c r="B93" s="6">
        <f>DATE(2012,12,31)-1447</f>
        <v>39827</v>
      </c>
      <c r="C93" s="2" t="s">
        <v>917</v>
      </c>
      <c r="D93" s="1">
        <v>27</v>
      </c>
      <c r="E93" s="1">
        <v>112.57</v>
      </c>
      <c r="F93" s="1">
        <v>0.08</v>
      </c>
      <c r="G93" s="2" t="s">
        <v>560</v>
      </c>
      <c r="H93" s="10">
        <v>13.92</v>
      </c>
      <c r="I93" s="7">
        <v>4.28</v>
      </c>
      <c r="J93" s="7">
        <v>0.94</v>
      </c>
      <c r="K93" s="2" t="s">
        <v>125</v>
      </c>
      <c r="L93" s="16" t="s">
        <v>921</v>
      </c>
      <c r="M93" s="16" t="s">
        <v>921</v>
      </c>
      <c r="N93" s="2" t="s">
        <v>564</v>
      </c>
      <c r="O93" s="2" t="s">
        <v>568</v>
      </c>
      <c r="P93" s="2" t="s">
        <v>571</v>
      </c>
      <c r="Q93" s="1" t="s">
        <v>557</v>
      </c>
      <c r="R93" s="2" t="s">
        <v>584</v>
      </c>
      <c r="S93" s="8">
        <f>B93+3</f>
        <v>39830</v>
      </c>
    </row>
    <row r="94" spans="1:19" x14ac:dyDescent="0.15">
      <c r="A94" s="1">
        <v>8576</v>
      </c>
      <c r="B94" s="6">
        <f>DATE(2012,12,31)-1452</f>
        <v>39822</v>
      </c>
      <c r="C94" s="2" t="s">
        <v>913</v>
      </c>
      <c r="D94" s="1">
        <v>43</v>
      </c>
      <c r="E94" s="1">
        <v>541.45000000000005</v>
      </c>
      <c r="F94" s="1">
        <v>0</v>
      </c>
      <c r="G94" s="2" t="s">
        <v>561</v>
      </c>
      <c r="H94" s="10">
        <v>-164.25</v>
      </c>
      <c r="I94" s="7">
        <v>11.66</v>
      </c>
      <c r="J94" s="7">
        <v>8.99</v>
      </c>
      <c r="K94" s="2" t="s">
        <v>786</v>
      </c>
      <c r="L94" s="16" t="s">
        <v>921</v>
      </c>
      <c r="M94" s="16" t="s">
        <v>921</v>
      </c>
      <c r="N94" s="2" t="s">
        <v>567</v>
      </c>
      <c r="O94" s="2" t="s">
        <v>568</v>
      </c>
      <c r="P94" s="2" t="s">
        <v>571</v>
      </c>
      <c r="Q94" s="1" t="s">
        <v>43</v>
      </c>
      <c r="R94" s="2" t="s">
        <v>587</v>
      </c>
      <c r="S94" s="8">
        <f>B94+2</f>
        <v>39824</v>
      </c>
    </row>
    <row r="95" spans="1:19" x14ac:dyDescent="0.15">
      <c r="A95" s="1">
        <v>8582</v>
      </c>
      <c r="B95" s="6">
        <f>DATE(2012,12,31)-772</f>
        <v>40502</v>
      </c>
      <c r="C95" s="2" t="s">
        <v>916</v>
      </c>
      <c r="D95" s="1">
        <v>15</v>
      </c>
      <c r="E95" s="1">
        <v>1556.55</v>
      </c>
      <c r="F95" s="1">
        <v>0.04</v>
      </c>
      <c r="G95" s="2" t="s">
        <v>560</v>
      </c>
      <c r="H95" s="10">
        <v>436.02</v>
      </c>
      <c r="I95" s="7">
        <v>105.34</v>
      </c>
      <c r="J95" s="7">
        <v>24.49</v>
      </c>
      <c r="K95" s="2" t="s">
        <v>809</v>
      </c>
      <c r="L95" s="16" t="s">
        <v>921</v>
      </c>
      <c r="M95" s="16" t="s">
        <v>921</v>
      </c>
      <c r="N95" s="2" t="s">
        <v>564</v>
      </c>
      <c r="O95" s="2" t="s">
        <v>570</v>
      </c>
      <c r="P95" s="2" t="s">
        <v>579</v>
      </c>
      <c r="Q95" s="1" t="s">
        <v>598</v>
      </c>
      <c r="R95" s="2" t="s">
        <v>590</v>
      </c>
      <c r="S95" s="8">
        <f>B95+0</f>
        <v>40502</v>
      </c>
    </row>
    <row r="96" spans="1:19" x14ac:dyDescent="0.15">
      <c r="A96" s="1">
        <v>8832</v>
      </c>
      <c r="B96" s="6">
        <f>DATE(2012,12,31)-333</f>
        <v>40941</v>
      </c>
      <c r="C96" s="2" t="s">
        <v>916</v>
      </c>
      <c r="D96" s="1">
        <v>39</v>
      </c>
      <c r="E96" s="1">
        <v>647.80999999999995</v>
      </c>
      <c r="F96" s="1">
        <v>0.1</v>
      </c>
      <c r="G96" s="2" t="s">
        <v>560</v>
      </c>
      <c r="H96" s="10">
        <v>8.6500000000000057</v>
      </c>
      <c r="I96" s="7">
        <v>17.670000000000002</v>
      </c>
      <c r="J96" s="7">
        <v>8.99</v>
      </c>
      <c r="K96" s="2" t="s">
        <v>829</v>
      </c>
      <c r="L96" s="16" t="s">
        <v>921</v>
      </c>
      <c r="M96" s="16" t="s">
        <v>921</v>
      </c>
      <c r="N96" s="2" t="s">
        <v>565</v>
      </c>
      <c r="O96" s="2" t="s">
        <v>570</v>
      </c>
      <c r="P96" s="2" t="s">
        <v>579</v>
      </c>
      <c r="Q96" s="1" t="s">
        <v>666</v>
      </c>
      <c r="R96" s="2" t="s">
        <v>587</v>
      </c>
      <c r="S96" s="8">
        <f>B96+4</f>
        <v>40945</v>
      </c>
    </row>
    <row r="97" spans="1:19" x14ac:dyDescent="0.15">
      <c r="A97" s="1">
        <v>8901</v>
      </c>
      <c r="B97" s="6">
        <f>DATE(2012,12,31)-499</f>
        <v>40775</v>
      </c>
      <c r="C97" s="2" t="s">
        <v>916</v>
      </c>
      <c r="D97" s="1">
        <v>15</v>
      </c>
      <c r="E97" s="1">
        <v>168.9</v>
      </c>
      <c r="F97" s="1">
        <v>0.09</v>
      </c>
      <c r="G97" s="2" t="s">
        <v>561</v>
      </c>
      <c r="H97" s="10">
        <v>-16.1907</v>
      </c>
      <c r="I97" s="7">
        <v>9.99</v>
      </c>
      <c r="J97" s="7">
        <v>6.24</v>
      </c>
      <c r="K97" s="2" t="s">
        <v>854</v>
      </c>
      <c r="L97" s="16" t="s">
        <v>921</v>
      </c>
      <c r="M97" s="16" t="s">
        <v>921</v>
      </c>
      <c r="N97" s="2" t="s">
        <v>566</v>
      </c>
      <c r="O97" s="2" t="s">
        <v>569</v>
      </c>
      <c r="P97" s="2" t="s">
        <v>583</v>
      </c>
      <c r="Q97" s="1" t="s">
        <v>13</v>
      </c>
      <c r="R97" s="2" t="s">
        <v>589</v>
      </c>
      <c r="S97" s="8">
        <f>B97+7</f>
        <v>40782</v>
      </c>
    </row>
    <row r="98" spans="1:19" x14ac:dyDescent="0.15">
      <c r="A98" s="1">
        <v>8930</v>
      </c>
      <c r="B98" s="6">
        <f>DATE(2012,12,31)-1322</f>
        <v>39952</v>
      </c>
      <c r="C98" s="2" t="s">
        <v>914</v>
      </c>
      <c r="D98" s="1">
        <v>14</v>
      </c>
      <c r="E98" s="1">
        <v>145.86000000000001</v>
      </c>
      <c r="F98" s="1">
        <v>0.04</v>
      </c>
      <c r="G98" s="2" t="s">
        <v>560</v>
      </c>
      <c r="H98" s="10">
        <v>-92.32</v>
      </c>
      <c r="I98" s="7">
        <v>9.99</v>
      </c>
      <c r="J98" s="7">
        <v>11.59</v>
      </c>
      <c r="K98" s="2" t="s">
        <v>879</v>
      </c>
      <c r="L98" s="16" t="s">
        <v>921</v>
      </c>
      <c r="M98" s="16" t="s">
        <v>921</v>
      </c>
      <c r="N98" s="2" t="s">
        <v>567</v>
      </c>
      <c r="O98" s="2" t="s">
        <v>568</v>
      </c>
      <c r="P98" s="2" t="s">
        <v>573</v>
      </c>
      <c r="Q98" s="1" t="s">
        <v>107</v>
      </c>
      <c r="R98" s="2" t="s">
        <v>585</v>
      </c>
      <c r="S98" s="8">
        <f>B98+2</f>
        <v>39954</v>
      </c>
    </row>
    <row r="99" spans="1:19" x14ac:dyDescent="0.15">
      <c r="A99" s="1">
        <v>8999</v>
      </c>
      <c r="B99" s="6">
        <f>DATE(2012,12,31)-1298</f>
        <v>39976</v>
      </c>
      <c r="C99" s="2" t="s">
        <v>913</v>
      </c>
      <c r="D99" s="1">
        <v>28</v>
      </c>
      <c r="E99" s="1">
        <v>1676.48</v>
      </c>
      <c r="F99" s="1">
        <v>0</v>
      </c>
      <c r="G99" s="2" t="s">
        <v>560</v>
      </c>
      <c r="H99" s="10">
        <v>590.35</v>
      </c>
      <c r="I99" s="7">
        <v>55.48</v>
      </c>
      <c r="J99" s="7">
        <v>14.3</v>
      </c>
      <c r="K99" s="2" t="s">
        <v>760</v>
      </c>
      <c r="L99" s="16" t="s">
        <v>921</v>
      </c>
      <c r="M99" s="16" t="s">
        <v>921</v>
      </c>
      <c r="N99" s="2" t="s">
        <v>567</v>
      </c>
      <c r="O99" s="2" t="s">
        <v>568</v>
      </c>
      <c r="P99" s="2" t="s">
        <v>573</v>
      </c>
      <c r="Q99" s="1" t="s">
        <v>682</v>
      </c>
      <c r="R99" s="2" t="s">
        <v>585</v>
      </c>
      <c r="S99" s="8">
        <f>B99+2</f>
        <v>39978</v>
      </c>
    </row>
    <row r="100" spans="1:19" x14ac:dyDescent="0.15">
      <c r="A100" s="1">
        <v>9091</v>
      </c>
      <c r="B100" s="6">
        <f>DATE(2012,12,31)-781</f>
        <v>40493</v>
      </c>
      <c r="C100" s="2" t="s">
        <v>913</v>
      </c>
      <c r="D100" s="1">
        <v>42</v>
      </c>
      <c r="E100" s="1">
        <v>605.77</v>
      </c>
      <c r="F100" s="1">
        <v>0.05</v>
      </c>
      <c r="G100" s="2" t="s">
        <v>560</v>
      </c>
      <c r="H100" s="10">
        <v>129.33000000000001</v>
      </c>
      <c r="I100" s="7">
        <v>14.34</v>
      </c>
      <c r="J100" s="7">
        <v>5</v>
      </c>
      <c r="K100" s="2" t="s">
        <v>868</v>
      </c>
      <c r="L100" s="16" t="s">
        <v>921</v>
      </c>
      <c r="M100" s="16" t="s">
        <v>921</v>
      </c>
      <c r="N100" s="2" t="s">
        <v>567</v>
      </c>
      <c r="O100" s="2" t="s">
        <v>570</v>
      </c>
      <c r="P100" s="2" t="s">
        <v>579</v>
      </c>
      <c r="Q100" s="1" t="s">
        <v>745</v>
      </c>
      <c r="R100" s="2" t="s">
        <v>587</v>
      </c>
      <c r="S100" s="8">
        <f>B100+1</f>
        <v>40494</v>
      </c>
    </row>
    <row r="101" spans="1:19" x14ac:dyDescent="0.15">
      <c r="A101" s="1">
        <v>9091</v>
      </c>
      <c r="B101" s="6">
        <f>DATE(2012,12,31)-781</f>
        <v>40493</v>
      </c>
      <c r="C101" s="2" t="s">
        <v>913</v>
      </c>
      <c r="D101" s="1">
        <v>44</v>
      </c>
      <c r="E101" s="1">
        <v>1480.91</v>
      </c>
      <c r="F101" s="1">
        <v>0</v>
      </c>
      <c r="G101" s="2" t="s">
        <v>560</v>
      </c>
      <c r="H101" s="10">
        <v>489.14</v>
      </c>
      <c r="I101" s="7">
        <v>30.98</v>
      </c>
      <c r="J101" s="7">
        <v>8.74</v>
      </c>
      <c r="K101" s="2" t="s">
        <v>868</v>
      </c>
      <c r="L101" s="16" t="s">
        <v>921</v>
      </c>
      <c r="M101" s="16" t="s">
        <v>921</v>
      </c>
      <c r="N101" s="2" t="s">
        <v>567</v>
      </c>
      <c r="O101" s="2" t="s">
        <v>568</v>
      </c>
      <c r="P101" s="2" t="s">
        <v>573</v>
      </c>
      <c r="Q101" s="1" t="s">
        <v>517</v>
      </c>
      <c r="R101" s="2" t="s">
        <v>585</v>
      </c>
      <c r="S101" s="8">
        <f>B101+1</f>
        <v>40494</v>
      </c>
    </row>
    <row r="102" spans="1:19" x14ac:dyDescent="0.15">
      <c r="A102" s="1">
        <v>9092</v>
      </c>
      <c r="B102" s="6">
        <f>DATE(2012,12,31)-1256</f>
        <v>40018</v>
      </c>
      <c r="C102" s="2" t="s">
        <v>915</v>
      </c>
      <c r="D102" s="1">
        <v>33</v>
      </c>
      <c r="E102" s="1">
        <v>3644.24</v>
      </c>
      <c r="F102" s="1">
        <v>0</v>
      </c>
      <c r="G102" s="2" t="s">
        <v>561</v>
      </c>
      <c r="H102" s="10">
        <v>-457.73</v>
      </c>
      <c r="I102" s="7">
        <v>101.41</v>
      </c>
      <c r="J102" s="7">
        <v>35</v>
      </c>
      <c r="K102" s="2" t="s">
        <v>873</v>
      </c>
      <c r="L102" s="16" t="s">
        <v>921</v>
      </c>
      <c r="M102" s="16" t="s">
        <v>921</v>
      </c>
      <c r="N102" s="2" t="s">
        <v>567</v>
      </c>
      <c r="O102" s="2" t="s">
        <v>568</v>
      </c>
      <c r="P102" s="2" t="s">
        <v>577</v>
      </c>
      <c r="Q102" s="1" t="s">
        <v>208</v>
      </c>
      <c r="R102" s="2" t="s">
        <v>590</v>
      </c>
      <c r="S102" s="8">
        <f>B102+1</f>
        <v>40019</v>
      </c>
    </row>
    <row r="103" spans="1:19" x14ac:dyDescent="0.15">
      <c r="A103" s="1">
        <v>9092</v>
      </c>
      <c r="B103" s="6">
        <f>DATE(2012,12,31)-1256</f>
        <v>40018</v>
      </c>
      <c r="C103" s="2" t="s">
        <v>915</v>
      </c>
      <c r="D103" s="1">
        <v>8</v>
      </c>
      <c r="E103" s="1">
        <v>599.20749999999998</v>
      </c>
      <c r="F103" s="1">
        <v>0.1</v>
      </c>
      <c r="G103" s="2" t="s">
        <v>560</v>
      </c>
      <c r="H103" s="10">
        <v>-268.66399999999999</v>
      </c>
      <c r="I103" s="7">
        <v>95.99</v>
      </c>
      <c r="J103" s="7">
        <v>4.9000000000000004</v>
      </c>
      <c r="K103" s="2" t="s">
        <v>873</v>
      </c>
      <c r="L103" s="16" t="s">
        <v>921</v>
      </c>
      <c r="M103" s="16" t="s">
        <v>921</v>
      </c>
      <c r="N103" s="2" t="s">
        <v>567</v>
      </c>
      <c r="O103" s="2" t="s">
        <v>569</v>
      </c>
      <c r="P103" s="2" t="s">
        <v>87</v>
      </c>
      <c r="Q103" s="1" t="s">
        <v>680</v>
      </c>
      <c r="R103" s="2" t="s">
        <v>585</v>
      </c>
      <c r="S103" s="8">
        <f>B103+1</f>
        <v>40019</v>
      </c>
    </row>
    <row r="104" spans="1:19" x14ac:dyDescent="0.15">
      <c r="A104" s="1">
        <v>9093</v>
      </c>
      <c r="B104" s="6">
        <f>DATE(2012,12,31)-388</f>
        <v>40886</v>
      </c>
      <c r="C104" s="2" t="s">
        <v>914</v>
      </c>
      <c r="D104" s="1">
        <v>36</v>
      </c>
      <c r="E104" s="1">
        <v>268.55</v>
      </c>
      <c r="F104" s="1">
        <v>0.1</v>
      </c>
      <c r="G104" s="2" t="s">
        <v>560</v>
      </c>
      <c r="H104" s="10">
        <v>-99.02</v>
      </c>
      <c r="I104" s="7">
        <v>8.1199999999999992</v>
      </c>
      <c r="J104" s="7">
        <v>2.83</v>
      </c>
      <c r="K104" s="2" t="s">
        <v>818</v>
      </c>
      <c r="L104" s="16" t="s">
        <v>921</v>
      </c>
      <c r="M104" s="16" t="s">
        <v>921</v>
      </c>
      <c r="N104" s="2" t="s">
        <v>566</v>
      </c>
      <c r="O104" s="2" t="s">
        <v>569</v>
      </c>
      <c r="P104" s="2" t="s">
        <v>572</v>
      </c>
      <c r="Q104" s="1" t="s">
        <v>169</v>
      </c>
      <c r="R104" s="2" t="s">
        <v>587</v>
      </c>
      <c r="S104" s="8">
        <f>B104+0</f>
        <v>40886</v>
      </c>
    </row>
    <row r="105" spans="1:19" x14ac:dyDescent="0.15">
      <c r="A105" s="1">
        <v>9251</v>
      </c>
      <c r="B105" s="6">
        <f>DATE(2012,12,31)-855</f>
        <v>40419</v>
      </c>
      <c r="C105" s="2" t="s">
        <v>914</v>
      </c>
      <c r="D105" s="1">
        <v>38</v>
      </c>
      <c r="E105" s="1">
        <v>3632.6</v>
      </c>
      <c r="F105" s="1">
        <v>0</v>
      </c>
      <c r="G105" s="2" t="s">
        <v>562</v>
      </c>
      <c r="H105" s="10">
        <v>-400.33</v>
      </c>
      <c r="I105" s="7">
        <v>89.99</v>
      </c>
      <c r="J105" s="7">
        <v>42</v>
      </c>
      <c r="K105" s="2" t="s">
        <v>829</v>
      </c>
      <c r="L105" s="16" t="s">
        <v>921</v>
      </c>
      <c r="M105" s="16" t="s">
        <v>921</v>
      </c>
      <c r="N105" s="2" t="s">
        <v>567</v>
      </c>
      <c r="O105" s="2" t="s">
        <v>570</v>
      </c>
      <c r="P105" s="2" t="s">
        <v>574</v>
      </c>
      <c r="Q105" s="1" t="s">
        <v>94</v>
      </c>
      <c r="R105" s="2" t="s">
        <v>586</v>
      </c>
      <c r="S105" s="8">
        <f>B105+2</f>
        <v>40421</v>
      </c>
    </row>
    <row r="106" spans="1:19" x14ac:dyDescent="0.15">
      <c r="A106" s="1">
        <v>9344</v>
      </c>
      <c r="B106" s="6">
        <f>DATE(2012,12,31)-391</f>
        <v>40883</v>
      </c>
      <c r="C106" s="2" t="s">
        <v>916</v>
      </c>
      <c r="D106" s="1">
        <v>18</v>
      </c>
      <c r="E106" s="1">
        <v>1733.1</v>
      </c>
      <c r="F106" s="1">
        <v>0.09</v>
      </c>
      <c r="G106" s="2" t="s">
        <v>560</v>
      </c>
      <c r="H106" s="10">
        <v>-505.69</v>
      </c>
      <c r="I106" s="7">
        <v>95.99</v>
      </c>
      <c r="J106" s="7">
        <v>35</v>
      </c>
      <c r="K106" s="2" t="s">
        <v>770</v>
      </c>
      <c r="L106" s="16" t="s">
        <v>921</v>
      </c>
      <c r="M106" s="16" t="s">
        <v>921</v>
      </c>
      <c r="N106" s="2" t="s">
        <v>566</v>
      </c>
      <c r="O106" s="2" t="s">
        <v>568</v>
      </c>
      <c r="P106" s="2" t="s">
        <v>577</v>
      </c>
      <c r="Q106" s="1" t="s">
        <v>269</v>
      </c>
      <c r="R106" s="2" t="s">
        <v>590</v>
      </c>
      <c r="S106" s="8">
        <f>B106+2</f>
        <v>40885</v>
      </c>
    </row>
    <row r="107" spans="1:19" x14ac:dyDescent="0.15">
      <c r="A107" s="1">
        <v>9344</v>
      </c>
      <c r="B107" s="6">
        <f>DATE(2012,12,31)-391</f>
        <v>40883</v>
      </c>
      <c r="C107" s="2" t="s">
        <v>916</v>
      </c>
      <c r="D107" s="1">
        <v>31</v>
      </c>
      <c r="E107" s="1">
        <v>3448.6455000000001</v>
      </c>
      <c r="F107" s="1">
        <v>0.02</v>
      </c>
      <c r="G107" s="2" t="s">
        <v>560</v>
      </c>
      <c r="H107" s="10">
        <v>900.41399999999999</v>
      </c>
      <c r="I107" s="7">
        <v>125.99</v>
      </c>
      <c r="J107" s="7">
        <v>8.99</v>
      </c>
      <c r="K107" s="2" t="s">
        <v>770</v>
      </c>
      <c r="L107" s="16" t="s">
        <v>921</v>
      </c>
      <c r="M107" s="16" t="s">
        <v>921</v>
      </c>
      <c r="N107" s="2" t="s">
        <v>566</v>
      </c>
      <c r="O107" s="2" t="s">
        <v>569</v>
      </c>
      <c r="P107" s="2" t="s">
        <v>87</v>
      </c>
      <c r="Q107" s="1" t="s">
        <v>480</v>
      </c>
      <c r="R107" s="2" t="s">
        <v>585</v>
      </c>
      <c r="S107" s="8">
        <f>B107+0</f>
        <v>40883</v>
      </c>
    </row>
    <row r="108" spans="1:19" x14ac:dyDescent="0.15">
      <c r="A108" s="1">
        <v>9824</v>
      </c>
      <c r="B108" s="6">
        <f>DATE(2012,12,31)-709</f>
        <v>40565</v>
      </c>
      <c r="C108" s="2" t="s">
        <v>917</v>
      </c>
      <c r="D108" s="1">
        <v>39</v>
      </c>
      <c r="E108" s="1">
        <v>1939.66</v>
      </c>
      <c r="F108" s="1">
        <v>0.03</v>
      </c>
      <c r="G108" s="2" t="s">
        <v>561</v>
      </c>
      <c r="H108" s="10">
        <v>540.66999999999996</v>
      </c>
      <c r="I108" s="7">
        <v>48.92</v>
      </c>
      <c r="J108" s="7">
        <v>4.5</v>
      </c>
      <c r="K108" s="2" t="s">
        <v>869</v>
      </c>
      <c r="L108" s="16" t="s">
        <v>921</v>
      </c>
      <c r="M108" s="16" t="s">
        <v>921</v>
      </c>
      <c r="N108" s="2" t="s">
        <v>566</v>
      </c>
      <c r="O108" s="2" t="s">
        <v>568</v>
      </c>
      <c r="P108" s="2" t="s">
        <v>576</v>
      </c>
      <c r="Q108" s="1" t="s">
        <v>742</v>
      </c>
      <c r="R108" s="2" t="s">
        <v>585</v>
      </c>
      <c r="S108" s="8">
        <f>B108+2</f>
        <v>40567</v>
      </c>
    </row>
    <row r="109" spans="1:19" x14ac:dyDescent="0.15">
      <c r="A109" s="1">
        <v>9824</v>
      </c>
      <c r="B109" s="6">
        <f>DATE(2012,12,31)-709</f>
        <v>40565</v>
      </c>
      <c r="C109" s="2" t="s">
        <v>917</v>
      </c>
      <c r="D109" s="1">
        <v>5</v>
      </c>
      <c r="E109" s="1">
        <v>21.56</v>
      </c>
      <c r="F109" s="1">
        <v>0</v>
      </c>
      <c r="G109" s="2" t="s">
        <v>560</v>
      </c>
      <c r="H109" s="10">
        <v>2.75</v>
      </c>
      <c r="I109" s="7">
        <v>4.13</v>
      </c>
      <c r="J109" s="7">
        <v>0.5</v>
      </c>
      <c r="K109" s="2" t="s">
        <v>869</v>
      </c>
      <c r="L109" s="16" t="s">
        <v>921</v>
      </c>
      <c r="M109" s="16" t="s">
        <v>921</v>
      </c>
      <c r="N109" s="2" t="s">
        <v>566</v>
      </c>
      <c r="O109" s="2" t="s">
        <v>568</v>
      </c>
      <c r="P109" s="2" t="s">
        <v>582</v>
      </c>
      <c r="Q109" s="1" t="s">
        <v>354</v>
      </c>
      <c r="R109" s="2" t="s">
        <v>585</v>
      </c>
      <c r="S109" s="8">
        <f>B109+2</f>
        <v>40567</v>
      </c>
    </row>
    <row r="110" spans="1:19" x14ac:dyDescent="0.15">
      <c r="A110" s="1">
        <v>9824</v>
      </c>
      <c r="B110" s="6">
        <f>DATE(2012,12,31)-709</f>
        <v>40565</v>
      </c>
      <c r="C110" s="2" t="s">
        <v>917</v>
      </c>
      <c r="D110" s="1">
        <v>43</v>
      </c>
      <c r="E110" s="1">
        <v>115.81</v>
      </c>
      <c r="F110" s="1">
        <v>0.1</v>
      </c>
      <c r="G110" s="2" t="s">
        <v>560</v>
      </c>
      <c r="H110" s="10">
        <v>-1.49</v>
      </c>
      <c r="I110" s="7">
        <v>2.88</v>
      </c>
      <c r="J110" s="7">
        <v>1.01</v>
      </c>
      <c r="K110" s="2" t="s">
        <v>869</v>
      </c>
      <c r="L110" s="16" t="s">
        <v>921</v>
      </c>
      <c r="M110" s="16" t="s">
        <v>921</v>
      </c>
      <c r="N110" s="2" t="s">
        <v>566</v>
      </c>
      <c r="O110" s="2" t="s">
        <v>568</v>
      </c>
      <c r="P110" s="2" t="s">
        <v>571</v>
      </c>
      <c r="Q110" s="1" t="s">
        <v>67</v>
      </c>
      <c r="R110" s="2" t="s">
        <v>584</v>
      </c>
      <c r="S110" s="8">
        <f>B110+2</f>
        <v>40567</v>
      </c>
    </row>
    <row r="111" spans="1:19" x14ac:dyDescent="0.15">
      <c r="A111" s="1">
        <v>10052</v>
      </c>
      <c r="B111" s="6">
        <f>DATE(2012,12,31)-1211</f>
        <v>40063</v>
      </c>
      <c r="C111" s="2" t="s">
        <v>915</v>
      </c>
      <c r="D111" s="1">
        <v>16</v>
      </c>
      <c r="E111" s="1">
        <v>95.9</v>
      </c>
      <c r="F111" s="1">
        <v>7.0000000000000007E-2</v>
      </c>
      <c r="G111" s="2" t="s">
        <v>560</v>
      </c>
      <c r="H111" s="10">
        <v>19.57</v>
      </c>
      <c r="I111" s="7">
        <v>6.08</v>
      </c>
      <c r="J111" s="7">
        <v>0.91</v>
      </c>
      <c r="K111" s="2" t="s">
        <v>852</v>
      </c>
      <c r="L111" s="16" t="s">
        <v>921</v>
      </c>
      <c r="M111" s="16" t="s">
        <v>921</v>
      </c>
      <c r="N111" s="2" t="s">
        <v>567</v>
      </c>
      <c r="O111" s="2" t="s">
        <v>568</v>
      </c>
      <c r="P111" s="2" t="s">
        <v>571</v>
      </c>
      <c r="Q111" s="1" t="s">
        <v>541</v>
      </c>
      <c r="R111" s="2" t="s">
        <v>584</v>
      </c>
      <c r="S111" s="8">
        <f>B111+1</f>
        <v>40064</v>
      </c>
    </row>
    <row r="112" spans="1:19" x14ac:dyDescent="0.15">
      <c r="A112" s="1">
        <v>10052</v>
      </c>
      <c r="B112" s="6">
        <f>DATE(2012,12,31)-1211</f>
        <v>40063</v>
      </c>
      <c r="C112" s="2" t="s">
        <v>915</v>
      </c>
      <c r="D112" s="1">
        <v>28</v>
      </c>
      <c r="E112" s="1">
        <v>517.91</v>
      </c>
      <c r="F112" s="1">
        <v>0.08</v>
      </c>
      <c r="G112" s="2" t="s">
        <v>560</v>
      </c>
      <c r="H112" s="10">
        <v>107.11</v>
      </c>
      <c r="I112" s="7">
        <v>19.899999999999999</v>
      </c>
      <c r="J112" s="7">
        <v>5.29</v>
      </c>
      <c r="K112" s="2" t="s">
        <v>852</v>
      </c>
      <c r="L112" s="16" t="s">
        <v>921</v>
      </c>
      <c r="M112" s="16" t="s">
        <v>921</v>
      </c>
      <c r="N112" s="2" t="s">
        <v>567</v>
      </c>
      <c r="O112" s="2" t="s">
        <v>568</v>
      </c>
      <c r="P112" s="2" t="s">
        <v>576</v>
      </c>
      <c r="Q112" s="1" t="s">
        <v>648</v>
      </c>
      <c r="R112" s="2" t="s">
        <v>589</v>
      </c>
      <c r="S112" s="8">
        <f>B112+2</f>
        <v>40065</v>
      </c>
    </row>
    <row r="113" spans="1:19" x14ac:dyDescent="0.15">
      <c r="A113" s="1">
        <v>10052</v>
      </c>
      <c r="B113" s="6">
        <f>DATE(2012,12,31)-1211</f>
        <v>40063</v>
      </c>
      <c r="C113" s="2" t="s">
        <v>915</v>
      </c>
      <c r="D113" s="1">
        <v>46</v>
      </c>
      <c r="E113" s="1">
        <v>162.28</v>
      </c>
      <c r="F113" s="1">
        <v>0.02</v>
      </c>
      <c r="G113" s="2" t="s">
        <v>560</v>
      </c>
      <c r="H113" s="10">
        <v>-216.154</v>
      </c>
      <c r="I113" s="7">
        <v>3.36</v>
      </c>
      <c r="J113" s="7">
        <v>6.27</v>
      </c>
      <c r="K113" s="2" t="s">
        <v>852</v>
      </c>
      <c r="L113" s="16" t="s">
        <v>921</v>
      </c>
      <c r="M113" s="16" t="s">
        <v>921</v>
      </c>
      <c r="N113" s="2" t="s">
        <v>567</v>
      </c>
      <c r="O113" s="2" t="s">
        <v>568</v>
      </c>
      <c r="P113" s="2" t="s">
        <v>88</v>
      </c>
      <c r="Q113" s="1" t="s">
        <v>47</v>
      </c>
      <c r="R113" s="2" t="s">
        <v>585</v>
      </c>
      <c r="S113" s="8">
        <f>B113+2</f>
        <v>40065</v>
      </c>
    </row>
    <row r="114" spans="1:19" x14ac:dyDescent="0.15">
      <c r="A114" s="1">
        <v>10080</v>
      </c>
      <c r="B114" s="6">
        <f>DATE(2012,12,31)-1053</f>
        <v>40221</v>
      </c>
      <c r="C114" s="2" t="s">
        <v>916</v>
      </c>
      <c r="D114" s="1">
        <v>20</v>
      </c>
      <c r="E114" s="1">
        <v>637.04</v>
      </c>
      <c r="F114" s="1">
        <v>0</v>
      </c>
      <c r="G114" s="2" t="s">
        <v>560</v>
      </c>
      <c r="H114" s="10">
        <v>-26.83</v>
      </c>
      <c r="I114" s="7">
        <v>30.73</v>
      </c>
      <c r="J114" s="7">
        <v>4</v>
      </c>
      <c r="K114" s="2" t="s">
        <v>766</v>
      </c>
      <c r="L114" s="16" t="s">
        <v>921</v>
      </c>
      <c r="M114" s="16" t="s">
        <v>921</v>
      </c>
      <c r="N114" s="2" t="s">
        <v>567</v>
      </c>
      <c r="O114" s="2" t="s">
        <v>569</v>
      </c>
      <c r="P114" s="2" t="s">
        <v>572</v>
      </c>
      <c r="Q114" s="1" t="s">
        <v>400</v>
      </c>
      <c r="R114" s="2" t="s">
        <v>585</v>
      </c>
      <c r="S114" s="8">
        <f>B114+7</f>
        <v>40228</v>
      </c>
    </row>
    <row r="115" spans="1:19" x14ac:dyDescent="0.15">
      <c r="A115" s="1">
        <v>10117</v>
      </c>
      <c r="B115" s="6">
        <f>DATE(2012,12,31)-776</f>
        <v>40498</v>
      </c>
      <c r="C115" s="2" t="s">
        <v>914</v>
      </c>
      <c r="D115" s="1">
        <v>6</v>
      </c>
      <c r="E115" s="1">
        <v>64.37</v>
      </c>
      <c r="F115" s="1">
        <v>7.0000000000000007E-2</v>
      </c>
      <c r="G115" s="2" t="s">
        <v>561</v>
      </c>
      <c r="H115" s="10">
        <v>-6.9574999999999996</v>
      </c>
      <c r="I115" s="7">
        <v>8.85</v>
      </c>
      <c r="J115" s="7">
        <v>5.6</v>
      </c>
      <c r="K115" s="2" t="s">
        <v>767</v>
      </c>
      <c r="L115" s="16" t="s">
        <v>921</v>
      </c>
      <c r="M115" s="16" t="s">
        <v>921</v>
      </c>
      <c r="N115" s="2" t="s">
        <v>566</v>
      </c>
      <c r="O115" s="2" t="s">
        <v>568</v>
      </c>
      <c r="P115" s="2" t="s">
        <v>88</v>
      </c>
      <c r="Q115" s="1" t="s">
        <v>293</v>
      </c>
      <c r="R115" s="2" t="s">
        <v>585</v>
      </c>
      <c r="S115" s="8">
        <f>B115+1</f>
        <v>40499</v>
      </c>
    </row>
    <row r="116" spans="1:19" x14ac:dyDescent="0.15">
      <c r="A116" s="1">
        <v>10117</v>
      </c>
      <c r="B116" s="6">
        <f>DATE(2012,12,31)-776</f>
        <v>40498</v>
      </c>
      <c r="C116" s="2" t="s">
        <v>914</v>
      </c>
      <c r="D116" s="1">
        <v>10</v>
      </c>
      <c r="E116" s="1">
        <v>4588.55</v>
      </c>
      <c r="F116" s="1">
        <v>0.01</v>
      </c>
      <c r="G116" s="2" t="s">
        <v>560</v>
      </c>
      <c r="H116" s="10">
        <v>-266.62400000000002</v>
      </c>
      <c r="I116" s="7">
        <v>449.99</v>
      </c>
      <c r="J116" s="7">
        <v>24.49</v>
      </c>
      <c r="K116" s="2" t="s">
        <v>767</v>
      </c>
      <c r="L116" s="16" t="s">
        <v>921</v>
      </c>
      <c r="M116" s="16" t="s">
        <v>921</v>
      </c>
      <c r="N116" s="2" t="s">
        <v>566</v>
      </c>
      <c r="O116" s="2" t="s">
        <v>569</v>
      </c>
      <c r="P116" s="2" t="s">
        <v>90</v>
      </c>
      <c r="Q116" s="1" t="s">
        <v>518</v>
      </c>
      <c r="R116" s="2" t="s">
        <v>590</v>
      </c>
      <c r="S116" s="8">
        <f>B116+2</f>
        <v>40500</v>
      </c>
    </row>
    <row r="117" spans="1:19" x14ac:dyDescent="0.15">
      <c r="A117" s="1">
        <v>10146</v>
      </c>
      <c r="B117" s="6">
        <f>DATE(2012,12,31)-1340</f>
        <v>39934</v>
      </c>
      <c r="C117" s="2" t="s">
        <v>916</v>
      </c>
      <c r="D117" s="1">
        <v>19</v>
      </c>
      <c r="E117" s="1">
        <v>596.21</v>
      </c>
      <c r="F117" s="1">
        <v>0.1</v>
      </c>
      <c r="G117" s="2" t="s">
        <v>560</v>
      </c>
      <c r="H117" s="10">
        <v>211.59</v>
      </c>
      <c r="I117" s="7">
        <v>34.229999999999997</v>
      </c>
      <c r="J117" s="7">
        <v>5.0199999999999996</v>
      </c>
      <c r="K117" s="2" t="s">
        <v>794</v>
      </c>
      <c r="L117" s="16" t="s">
        <v>921</v>
      </c>
      <c r="M117" s="16" t="s">
        <v>921</v>
      </c>
      <c r="N117" s="2" t="s">
        <v>567</v>
      </c>
      <c r="O117" s="2" t="s">
        <v>570</v>
      </c>
      <c r="P117" s="2" t="s">
        <v>579</v>
      </c>
      <c r="Q117" s="1" t="s">
        <v>75</v>
      </c>
      <c r="R117" s="2" t="s">
        <v>585</v>
      </c>
      <c r="S117" s="8">
        <f>B117+5</f>
        <v>39939</v>
      </c>
    </row>
    <row r="118" spans="1:19" x14ac:dyDescent="0.15">
      <c r="A118" s="1">
        <v>10245</v>
      </c>
      <c r="B118" s="6">
        <f>DATE(2012,12,31)-687</f>
        <v>40587</v>
      </c>
      <c r="C118" s="2" t="s">
        <v>914</v>
      </c>
      <c r="D118" s="1">
        <v>27</v>
      </c>
      <c r="E118" s="1">
        <v>2645.88</v>
      </c>
      <c r="F118" s="1">
        <v>0.06</v>
      </c>
      <c r="G118" s="2" t="s">
        <v>562</v>
      </c>
      <c r="H118" s="10">
        <v>-1231.98</v>
      </c>
      <c r="I118" s="7">
        <v>100.98</v>
      </c>
      <c r="J118" s="7">
        <v>57.38</v>
      </c>
      <c r="K118" s="2" t="s">
        <v>878</v>
      </c>
      <c r="L118" s="16" t="s">
        <v>921</v>
      </c>
      <c r="M118" s="16" t="s">
        <v>921</v>
      </c>
      <c r="N118" s="2" t="s">
        <v>567</v>
      </c>
      <c r="O118" s="2" t="s">
        <v>570</v>
      </c>
      <c r="P118" s="2" t="s">
        <v>581</v>
      </c>
      <c r="Q118" s="1" t="s">
        <v>662</v>
      </c>
      <c r="R118" s="2" t="s">
        <v>588</v>
      </c>
      <c r="S118" s="8">
        <f>B118+1</f>
        <v>40588</v>
      </c>
    </row>
    <row r="119" spans="1:19" x14ac:dyDescent="0.15">
      <c r="A119" s="1">
        <v>10277</v>
      </c>
      <c r="B119" s="6">
        <f>DATE(2012,12,31)-1364</f>
        <v>39910</v>
      </c>
      <c r="C119" s="2" t="s">
        <v>914</v>
      </c>
      <c r="D119" s="1">
        <v>36</v>
      </c>
      <c r="E119" s="1">
        <v>2144.924</v>
      </c>
      <c r="F119" s="1">
        <v>0</v>
      </c>
      <c r="G119" s="2" t="s">
        <v>560</v>
      </c>
      <c r="H119" s="10">
        <v>542.25</v>
      </c>
      <c r="I119" s="7">
        <v>65.989999999999995</v>
      </c>
      <c r="J119" s="7">
        <v>5.26</v>
      </c>
      <c r="K119" s="2" t="s">
        <v>766</v>
      </c>
      <c r="L119" s="16" t="s">
        <v>921</v>
      </c>
      <c r="M119" s="16" t="s">
        <v>921</v>
      </c>
      <c r="N119" s="2" t="s">
        <v>567</v>
      </c>
      <c r="O119" s="2" t="s">
        <v>569</v>
      </c>
      <c r="P119" s="2" t="s">
        <v>87</v>
      </c>
      <c r="Q119" s="1" t="s">
        <v>130</v>
      </c>
      <c r="R119" s="2" t="s">
        <v>585</v>
      </c>
      <c r="S119" s="8">
        <f>B119+1</f>
        <v>39911</v>
      </c>
    </row>
    <row r="120" spans="1:19" x14ac:dyDescent="0.15">
      <c r="A120" s="1">
        <v>10305</v>
      </c>
      <c r="B120" s="6">
        <f>DATE(2012,12,31)-1273</f>
        <v>40001</v>
      </c>
      <c r="C120" s="2" t="s">
        <v>916</v>
      </c>
      <c r="D120" s="1">
        <v>12</v>
      </c>
      <c r="E120" s="1">
        <v>65.89</v>
      </c>
      <c r="F120" s="1">
        <v>0.03</v>
      </c>
      <c r="G120" s="2" t="s">
        <v>560</v>
      </c>
      <c r="H120" s="10">
        <v>20.6</v>
      </c>
      <c r="I120" s="7">
        <v>5.08</v>
      </c>
      <c r="J120" s="7">
        <v>2.0299999999999998</v>
      </c>
      <c r="K120" s="2" t="s">
        <v>760</v>
      </c>
      <c r="L120" s="16" t="s">
        <v>921</v>
      </c>
      <c r="M120" s="16" t="s">
        <v>921</v>
      </c>
      <c r="N120" s="2" t="s">
        <v>564</v>
      </c>
      <c r="O120" s="2" t="s">
        <v>570</v>
      </c>
      <c r="P120" s="2" t="s">
        <v>579</v>
      </c>
      <c r="Q120" s="1" t="s">
        <v>333</v>
      </c>
      <c r="R120" s="2" t="s">
        <v>584</v>
      </c>
      <c r="S120" s="8">
        <f>B120+5</f>
        <v>40006</v>
      </c>
    </row>
    <row r="121" spans="1:19" x14ac:dyDescent="0.15">
      <c r="A121" s="1">
        <v>10339</v>
      </c>
      <c r="B121" s="6">
        <f>DATE(2012,12,31)-447</f>
        <v>40827</v>
      </c>
      <c r="C121" s="2" t="s">
        <v>916</v>
      </c>
      <c r="D121" s="1">
        <v>49</v>
      </c>
      <c r="E121" s="1">
        <v>9752.25</v>
      </c>
      <c r="F121" s="1">
        <v>0.09</v>
      </c>
      <c r="G121" s="2" t="s">
        <v>560</v>
      </c>
      <c r="H121" s="10">
        <v>3066.17</v>
      </c>
      <c r="I121" s="7">
        <v>209.84</v>
      </c>
      <c r="J121" s="7">
        <v>21.21</v>
      </c>
      <c r="K121" s="2" t="s">
        <v>824</v>
      </c>
      <c r="L121" s="16" t="s">
        <v>921</v>
      </c>
      <c r="M121" s="16" t="s">
        <v>921</v>
      </c>
      <c r="N121" s="2" t="s">
        <v>565</v>
      </c>
      <c r="O121" s="2" t="s">
        <v>570</v>
      </c>
      <c r="P121" s="2" t="s">
        <v>579</v>
      </c>
      <c r="Q121" s="1" t="s">
        <v>706</v>
      </c>
      <c r="R121" s="2" t="s">
        <v>590</v>
      </c>
      <c r="S121" s="8">
        <f>B121+4</f>
        <v>40831</v>
      </c>
    </row>
    <row r="122" spans="1:19" x14ac:dyDescent="0.15">
      <c r="A122" s="1">
        <v>10466</v>
      </c>
      <c r="B122" s="6">
        <f>DATE(2012,12,31)-6</f>
        <v>41268</v>
      </c>
      <c r="C122" s="2" t="s">
        <v>913</v>
      </c>
      <c r="D122" s="1">
        <v>27</v>
      </c>
      <c r="E122" s="1">
        <v>114.86</v>
      </c>
      <c r="F122" s="1">
        <v>7.0000000000000007E-2</v>
      </c>
      <c r="G122" s="2" t="s">
        <v>560</v>
      </c>
      <c r="H122" s="10">
        <v>16.21</v>
      </c>
      <c r="I122" s="7">
        <v>4.28</v>
      </c>
      <c r="J122" s="7">
        <v>0.94</v>
      </c>
      <c r="K122" s="2" t="s">
        <v>794</v>
      </c>
      <c r="L122" s="16" t="s">
        <v>921</v>
      </c>
      <c r="M122" s="16" t="s">
        <v>921</v>
      </c>
      <c r="N122" s="2" t="s">
        <v>567</v>
      </c>
      <c r="O122" s="2" t="s">
        <v>568</v>
      </c>
      <c r="P122" s="2" t="s">
        <v>571</v>
      </c>
      <c r="Q122" s="1" t="s">
        <v>557</v>
      </c>
      <c r="R122" s="2" t="s">
        <v>584</v>
      </c>
      <c r="S122" s="8">
        <f>B122+1</f>
        <v>41269</v>
      </c>
    </row>
    <row r="123" spans="1:19" x14ac:dyDescent="0.15">
      <c r="A123" s="1">
        <v>10562</v>
      </c>
      <c r="B123" s="6">
        <f>DATE(2012,12,31)-1146</f>
        <v>40128</v>
      </c>
      <c r="C123" s="2" t="s">
        <v>915</v>
      </c>
      <c r="D123" s="1">
        <v>10</v>
      </c>
      <c r="E123" s="1">
        <v>994.04</v>
      </c>
      <c r="F123" s="1">
        <v>0.03</v>
      </c>
      <c r="G123" s="2" t="s">
        <v>560</v>
      </c>
      <c r="H123" s="10">
        <v>-335.06</v>
      </c>
      <c r="I123" s="7">
        <v>95.99</v>
      </c>
      <c r="J123" s="7">
        <v>35</v>
      </c>
      <c r="K123" s="2" t="s">
        <v>804</v>
      </c>
      <c r="L123" s="16" t="s">
        <v>921</v>
      </c>
      <c r="M123" s="16" t="s">
        <v>921</v>
      </c>
      <c r="N123" s="2" t="s">
        <v>567</v>
      </c>
      <c r="O123" s="2" t="s">
        <v>568</v>
      </c>
      <c r="P123" s="2" t="s">
        <v>577</v>
      </c>
      <c r="Q123" s="1" t="s">
        <v>269</v>
      </c>
      <c r="R123" s="2" t="s">
        <v>590</v>
      </c>
      <c r="S123" s="8">
        <f>B123+1</f>
        <v>40129</v>
      </c>
    </row>
    <row r="124" spans="1:19" x14ac:dyDescent="0.15">
      <c r="A124" s="1">
        <v>10563</v>
      </c>
      <c r="B124" s="6">
        <f>DATE(2012,12,31)-824</f>
        <v>40450</v>
      </c>
      <c r="C124" s="2" t="s">
        <v>917</v>
      </c>
      <c r="D124" s="1">
        <v>38</v>
      </c>
      <c r="E124" s="1">
        <v>10223.19</v>
      </c>
      <c r="F124" s="1">
        <v>0.08</v>
      </c>
      <c r="G124" s="2" t="s">
        <v>560</v>
      </c>
      <c r="H124" s="10">
        <v>2723.31</v>
      </c>
      <c r="I124" s="7">
        <v>289.52999999999997</v>
      </c>
      <c r="J124" s="7">
        <v>19.989999999999998</v>
      </c>
      <c r="K124" s="2" t="s">
        <v>760</v>
      </c>
      <c r="L124" s="16" t="s">
        <v>921</v>
      </c>
      <c r="M124" s="16" t="s">
        <v>921</v>
      </c>
      <c r="N124" s="2" t="s">
        <v>567</v>
      </c>
      <c r="O124" s="2" t="s">
        <v>568</v>
      </c>
      <c r="P124" s="2" t="s">
        <v>576</v>
      </c>
      <c r="Q124" s="1" t="s">
        <v>304</v>
      </c>
      <c r="R124" s="2" t="s">
        <v>585</v>
      </c>
      <c r="S124" s="8">
        <f>B124+1</f>
        <v>40451</v>
      </c>
    </row>
    <row r="125" spans="1:19" x14ac:dyDescent="0.15">
      <c r="A125" s="1">
        <v>10563</v>
      </c>
      <c r="B125" s="6">
        <f>DATE(2012,12,31)-824</f>
        <v>40450</v>
      </c>
      <c r="C125" s="2" t="s">
        <v>917</v>
      </c>
      <c r="D125" s="1">
        <v>50</v>
      </c>
      <c r="E125" s="1">
        <v>312.42</v>
      </c>
      <c r="F125" s="1">
        <v>0.08</v>
      </c>
      <c r="G125" s="2" t="s">
        <v>560</v>
      </c>
      <c r="H125" s="10">
        <v>-90.42</v>
      </c>
      <c r="I125" s="7">
        <v>6.48</v>
      </c>
      <c r="J125" s="7">
        <v>5.4</v>
      </c>
      <c r="K125" s="2" t="s">
        <v>760</v>
      </c>
      <c r="L125" s="16" t="s">
        <v>921</v>
      </c>
      <c r="M125" s="16" t="s">
        <v>921</v>
      </c>
      <c r="N125" s="2" t="s">
        <v>567</v>
      </c>
      <c r="O125" s="2" t="s">
        <v>568</v>
      </c>
      <c r="P125" s="2" t="s">
        <v>573</v>
      </c>
      <c r="Q125" s="1" t="s">
        <v>111</v>
      </c>
      <c r="R125" s="2" t="s">
        <v>585</v>
      </c>
      <c r="S125" s="8">
        <f>B125+2</f>
        <v>40452</v>
      </c>
    </row>
    <row r="126" spans="1:19" x14ac:dyDescent="0.15">
      <c r="A126" s="1">
        <v>10658</v>
      </c>
      <c r="B126" s="6">
        <f>DATE(2012,12,31)-1222</f>
        <v>40052</v>
      </c>
      <c r="C126" s="2" t="s">
        <v>916</v>
      </c>
      <c r="D126" s="1">
        <v>31</v>
      </c>
      <c r="E126" s="1">
        <v>262.54000000000002</v>
      </c>
      <c r="F126" s="1">
        <v>0.04</v>
      </c>
      <c r="G126" s="2" t="s">
        <v>560</v>
      </c>
      <c r="H126" s="10">
        <v>29.24</v>
      </c>
      <c r="I126" s="7">
        <v>8.5</v>
      </c>
      <c r="J126" s="7">
        <v>1.99</v>
      </c>
      <c r="K126" s="2" t="s">
        <v>793</v>
      </c>
      <c r="L126" s="16" t="s">
        <v>921</v>
      </c>
      <c r="M126" s="16" t="s">
        <v>921</v>
      </c>
      <c r="N126" s="2" t="s">
        <v>566</v>
      </c>
      <c r="O126" s="2" t="s">
        <v>569</v>
      </c>
      <c r="P126" s="2" t="s">
        <v>572</v>
      </c>
      <c r="Q126" s="1" t="s">
        <v>696</v>
      </c>
      <c r="R126" s="2" t="s">
        <v>587</v>
      </c>
      <c r="S126" s="8">
        <f>B126+4</f>
        <v>40056</v>
      </c>
    </row>
    <row r="127" spans="1:19" x14ac:dyDescent="0.15">
      <c r="A127" s="1">
        <v>10658</v>
      </c>
      <c r="B127" s="6">
        <f>DATE(2012,12,31)-1222</f>
        <v>40052</v>
      </c>
      <c r="C127" s="2" t="s">
        <v>916</v>
      </c>
      <c r="D127" s="1">
        <v>12</v>
      </c>
      <c r="E127" s="1">
        <v>190.73</v>
      </c>
      <c r="F127" s="1">
        <v>0.1</v>
      </c>
      <c r="G127" s="2" t="s">
        <v>560</v>
      </c>
      <c r="H127" s="10">
        <v>-69.643500000000003</v>
      </c>
      <c r="I127" s="7">
        <v>15.99</v>
      </c>
      <c r="J127" s="7">
        <v>9.4</v>
      </c>
      <c r="K127" s="2" t="s">
        <v>793</v>
      </c>
      <c r="L127" s="16" t="s">
        <v>921</v>
      </c>
      <c r="M127" s="16" t="s">
        <v>921</v>
      </c>
      <c r="N127" s="2" t="s">
        <v>566</v>
      </c>
      <c r="O127" s="2" t="s">
        <v>569</v>
      </c>
      <c r="P127" s="2" t="s">
        <v>583</v>
      </c>
      <c r="Q127" s="1" t="s">
        <v>373</v>
      </c>
      <c r="R127" s="2" t="s">
        <v>585</v>
      </c>
      <c r="S127" s="8">
        <f>B127+0</f>
        <v>40052</v>
      </c>
    </row>
    <row r="128" spans="1:19" x14ac:dyDescent="0.15">
      <c r="A128" s="1">
        <v>10658</v>
      </c>
      <c r="B128" s="6">
        <f>DATE(2012,12,31)-1222</f>
        <v>40052</v>
      </c>
      <c r="C128" s="2" t="s">
        <v>916</v>
      </c>
      <c r="D128" s="1">
        <v>17</v>
      </c>
      <c r="E128" s="1">
        <v>1332.97</v>
      </c>
      <c r="F128" s="1">
        <v>0.09</v>
      </c>
      <c r="G128" s="2" t="s">
        <v>560</v>
      </c>
      <c r="H128" s="10">
        <v>4.7520000000000007</v>
      </c>
      <c r="I128" s="7">
        <v>95.99</v>
      </c>
      <c r="J128" s="7">
        <v>8.99</v>
      </c>
      <c r="K128" s="2" t="s">
        <v>793</v>
      </c>
      <c r="L128" s="16" t="s">
        <v>921</v>
      </c>
      <c r="M128" s="16" t="s">
        <v>921</v>
      </c>
      <c r="N128" s="2" t="s">
        <v>566</v>
      </c>
      <c r="O128" s="2" t="s">
        <v>569</v>
      </c>
      <c r="P128" s="2" t="s">
        <v>87</v>
      </c>
      <c r="Q128" s="1" t="s">
        <v>643</v>
      </c>
      <c r="R128" s="2" t="s">
        <v>585</v>
      </c>
      <c r="S128" s="8">
        <f>B128+7</f>
        <v>40059</v>
      </c>
    </row>
    <row r="129" spans="1:19" x14ac:dyDescent="0.15">
      <c r="A129" s="1">
        <v>10662</v>
      </c>
      <c r="B129" s="6">
        <f>DATE(2012,12,31)-599</f>
        <v>40675</v>
      </c>
      <c r="C129" s="2" t="s">
        <v>916</v>
      </c>
      <c r="D129" s="1">
        <v>45</v>
      </c>
      <c r="E129" s="1">
        <v>283.13</v>
      </c>
      <c r="F129" s="1">
        <v>0.08</v>
      </c>
      <c r="G129" s="2" t="s">
        <v>560</v>
      </c>
      <c r="H129" s="10">
        <v>-141.26</v>
      </c>
      <c r="I129" s="7">
        <v>6.48</v>
      </c>
      <c r="J129" s="7">
        <v>6.81</v>
      </c>
      <c r="K129" s="2" t="s">
        <v>860</v>
      </c>
      <c r="L129" s="16" t="s">
        <v>921</v>
      </c>
      <c r="M129" s="16" t="s">
        <v>921</v>
      </c>
      <c r="N129" s="2" t="s">
        <v>564</v>
      </c>
      <c r="O129" s="2" t="s">
        <v>568</v>
      </c>
      <c r="P129" s="2" t="s">
        <v>573</v>
      </c>
      <c r="Q129" s="1" t="s">
        <v>733</v>
      </c>
      <c r="R129" s="2" t="s">
        <v>585</v>
      </c>
      <c r="S129" s="8">
        <f>B129+9</f>
        <v>40684</v>
      </c>
    </row>
    <row r="130" spans="1:19" x14ac:dyDescent="0.15">
      <c r="A130" s="1">
        <v>10948</v>
      </c>
      <c r="B130" s="6">
        <f>DATE(2012,12,31)-140</f>
        <v>41134</v>
      </c>
      <c r="C130" s="2" t="s">
        <v>914</v>
      </c>
      <c r="D130" s="1">
        <v>50</v>
      </c>
      <c r="E130" s="1">
        <v>193.11</v>
      </c>
      <c r="F130" s="1">
        <v>0.08</v>
      </c>
      <c r="G130" s="2" t="s">
        <v>560</v>
      </c>
      <c r="H130" s="10">
        <v>-263.76400000000001</v>
      </c>
      <c r="I130" s="7">
        <v>3.89</v>
      </c>
      <c r="J130" s="7">
        <v>7.01</v>
      </c>
      <c r="K130" s="2" t="s">
        <v>852</v>
      </c>
      <c r="L130" s="16" t="s">
        <v>921</v>
      </c>
      <c r="M130" s="16" t="s">
        <v>921</v>
      </c>
      <c r="N130" s="2" t="s">
        <v>567</v>
      </c>
      <c r="O130" s="2" t="s">
        <v>568</v>
      </c>
      <c r="P130" s="2" t="s">
        <v>88</v>
      </c>
      <c r="Q130" s="1" t="s">
        <v>367</v>
      </c>
      <c r="R130" s="2" t="s">
        <v>585</v>
      </c>
      <c r="S130" s="8">
        <f>B130+0</f>
        <v>41134</v>
      </c>
    </row>
    <row r="131" spans="1:19" x14ac:dyDescent="0.15">
      <c r="A131" s="1">
        <v>11014</v>
      </c>
      <c r="B131" s="6">
        <f>DATE(2012,12,31)-846</f>
        <v>40428</v>
      </c>
      <c r="C131" s="2" t="s">
        <v>913</v>
      </c>
      <c r="D131" s="1">
        <v>13</v>
      </c>
      <c r="E131" s="1">
        <v>158.79</v>
      </c>
      <c r="F131" s="1">
        <v>0.05</v>
      </c>
      <c r="G131" s="2" t="s">
        <v>560</v>
      </c>
      <c r="H131" s="10">
        <v>1.1560000000000001</v>
      </c>
      <c r="I131" s="7">
        <v>11.7</v>
      </c>
      <c r="J131" s="7">
        <v>5.63</v>
      </c>
      <c r="K131" s="2" t="s">
        <v>848</v>
      </c>
      <c r="L131" s="16" t="s">
        <v>921</v>
      </c>
      <c r="M131" s="16" t="s">
        <v>921</v>
      </c>
      <c r="N131" s="2" t="s">
        <v>567</v>
      </c>
      <c r="O131" s="2" t="s">
        <v>568</v>
      </c>
      <c r="P131" s="2" t="s">
        <v>88</v>
      </c>
      <c r="Q131" s="1" t="s">
        <v>11</v>
      </c>
      <c r="R131" s="2" t="s">
        <v>585</v>
      </c>
      <c r="S131" s="8">
        <f>B131+2</f>
        <v>40430</v>
      </c>
    </row>
    <row r="132" spans="1:19" x14ac:dyDescent="0.15">
      <c r="A132" s="1">
        <v>11077</v>
      </c>
      <c r="B132" s="6">
        <f>DATE(2012,12,31)-1382</f>
        <v>39892</v>
      </c>
      <c r="C132" s="2"/>
      <c r="D132" s="1">
        <v>30</v>
      </c>
      <c r="E132" s="1">
        <v>4620.05</v>
      </c>
      <c r="F132" s="1">
        <v>0.06</v>
      </c>
      <c r="G132" s="2" t="s">
        <v>562</v>
      </c>
      <c r="H132" s="10">
        <v>-229.68</v>
      </c>
      <c r="I132" s="7">
        <v>160.97999999999999</v>
      </c>
      <c r="J132" s="7">
        <v>35.020000000000003</v>
      </c>
      <c r="K132" s="2" t="s">
        <v>776</v>
      </c>
      <c r="L132" s="16" t="s">
        <v>921</v>
      </c>
      <c r="M132" s="16" t="s">
        <v>921</v>
      </c>
      <c r="N132" s="2" t="s">
        <v>566</v>
      </c>
      <c r="O132" s="2" t="s">
        <v>570</v>
      </c>
      <c r="P132" s="2" t="s">
        <v>581</v>
      </c>
      <c r="Q132" s="1" t="s">
        <v>410</v>
      </c>
      <c r="R132" s="2" t="s">
        <v>588</v>
      </c>
      <c r="S132" s="8">
        <f>B132+4</f>
        <v>39896</v>
      </c>
    </row>
    <row r="133" spans="1:19" x14ac:dyDescent="0.15">
      <c r="A133" s="1">
        <v>11174</v>
      </c>
      <c r="B133" s="6">
        <f>DATE(2012,12,31)-1362</f>
        <v>39912</v>
      </c>
      <c r="C133" s="2"/>
      <c r="D133" s="1">
        <v>30</v>
      </c>
      <c r="E133" s="1">
        <v>3197.0029999999997</v>
      </c>
      <c r="F133" s="1">
        <v>7.0000000000000007E-2</v>
      </c>
      <c r="G133" s="2" t="s">
        <v>560</v>
      </c>
      <c r="H133" s="10">
        <v>603.45899999999995</v>
      </c>
      <c r="I133" s="7">
        <v>125.99</v>
      </c>
      <c r="J133" s="7">
        <v>7.69</v>
      </c>
      <c r="K133" s="2" t="s">
        <v>794</v>
      </c>
      <c r="L133" s="16" t="s">
        <v>921</v>
      </c>
      <c r="M133" s="16" t="s">
        <v>921</v>
      </c>
      <c r="N133" s="2" t="s">
        <v>567</v>
      </c>
      <c r="O133" s="2" t="s">
        <v>569</v>
      </c>
      <c r="P133" s="2" t="s">
        <v>87</v>
      </c>
      <c r="Q133" s="1" t="s">
        <v>478</v>
      </c>
      <c r="R133" s="2" t="s">
        <v>585</v>
      </c>
      <c r="S133" s="8">
        <f>B133+1</f>
        <v>39913</v>
      </c>
    </row>
    <row r="134" spans="1:19" x14ac:dyDescent="0.15">
      <c r="A134" s="1">
        <v>11236</v>
      </c>
      <c r="B134" s="6">
        <f>DATE(2012,12,31)-793</f>
        <v>40481</v>
      </c>
      <c r="C134" s="2"/>
      <c r="D134" s="1">
        <v>45</v>
      </c>
      <c r="E134" s="1">
        <v>298.57</v>
      </c>
      <c r="F134" s="1">
        <v>7.0000000000000007E-2</v>
      </c>
      <c r="G134" s="2" t="s">
        <v>560</v>
      </c>
      <c r="H134" s="10">
        <v>74.069999999999993</v>
      </c>
      <c r="I134" s="7">
        <v>6.88</v>
      </c>
      <c r="J134" s="7">
        <v>2</v>
      </c>
      <c r="K134" s="2" t="s">
        <v>790</v>
      </c>
      <c r="L134" s="16" t="s">
        <v>921</v>
      </c>
      <c r="M134" s="16" t="s">
        <v>921</v>
      </c>
      <c r="N134" s="2" t="s">
        <v>565</v>
      </c>
      <c r="O134" s="2" t="s">
        <v>568</v>
      </c>
      <c r="P134" s="2" t="s">
        <v>573</v>
      </c>
      <c r="Q134" s="1" t="s">
        <v>235</v>
      </c>
      <c r="R134" s="2" t="s">
        <v>584</v>
      </c>
      <c r="S134" s="8">
        <f>B134+0</f>
        <v>40481</v>
      </c>
    </row>
    <row r="135" spans="1:19" x14ac:dyDescent="0.15">
      <c r="A135" s="1">
        <v>11236</v>
      </c>
      <c r="B135" s="6">
        <f>DATE(2012,12,31)-793</f>
        <v>40481</v>
      </c>
      <c r="C135" s="2"/>
      <c r="D135" s="1">
        <v>15</v>
      </c>
      <c r="E135" s="1">
        <v>44.32</v>
      </c>
      <c r="F135" s="1">
        <v>0.01</v>
      </c>
      <c r="G135" s="2" t="s">
        <v>560</v>
      </c>
      <c r="H135" s="10">
        <v>-41.55</v>
      </c>
      <c r="I135" s="7">
        <v>2.52</v>
      </c>
      <c r="J135" s="7">
        <v>4.28</v>
      </c>
      <c r="K135" s="2" t="s">
        <v>790</v>
      </c>
      <c r="L135" s="16" t="s">
        <v>921</v>
      </c>
      <c r="M135" s="16" t="s">
        <v>921</v>
      </c>
      <c r="N135" s="2" t="s">
        <v>565</v>
      </c>
      <c r="O135" s="2" t="s">
        <v>568</v>
      </c>
      <c r="P135" s="2" t="s">
        <v>571</v>
      </c>
      <c r="Q135" s="1" t="s">
        <v>646</v>
      </c>
      <c r="R135" s="2" t="s">
        <v>584</v>
      </c>
      <c r="S135" s="8">
        <f>B135+0</f>
        <v>40481</v>
      </c>
    </row>
    <row r="136" spans="1:19" x14ac:dyDescent="0.15">
      <c r="A136" s="1">
        <v>11680</v>
      </c>
      <c r="B136" s="6">
        <f>DATE(2012,12,31)-1214</f>
        <v>40060</v>
      </c>
      <c r="C136" s="2"/>
      <c r="D136" s="1">
        <v>50</v>
      </c>
      <c r="E136" s="1">
        <v>7312.0314999999991</v>
      </c>
      <c r="F136" s="1">
        <v>0.06</v>
      </c>
      <c r="G136" s="2" t="s">
        <v>560</v>
      </c>
      <c r="H136" s="10">
        <v>2031.5070000000001</v>
      </c>
      <c r="I136" s="7">
        <v>175.99</v>
      </c>
      <c r="J136" s="7">
        <v>8.99</v>
      </c>
      <c r="K136" s="2" t="s">
        <v>821</v>
      </c>
      <c r="L136" s="16" t="s">
        <v>921</v>
      </c>
      <c r="M136" s="16" t="s">
        <v>921</v>
      </c>
      <c r="N136" s="2" t="s">
        <v>567</v>
      </c>
      <c r="O136" s="2" t="s">
        <v>569</v>
      </c>
      <c r="P136" s="2" t="s">
        <v>87</v>
      </c>
      <c r="Q136" s="1" t="s">
        <v>432</v>
      </c>
      <c r="R136" s="2" t="s">
        <v>585</v>
      </c>
      <c r="S136" s="8">
        <f>B136+2</f>
        <v>40062</v>
      </c>
    </row>
    <row r="137" spans="1:19" x14ac:dyDescent="0.15">
      <c r="A137" s="1">
        <v>11682</v>
      </c>
      <c r="B137" s="6">
        <f>DATE(2012,12,31)-911</f>
        <v>40363</v>
      </c>
      <c r="C137" s="2"/>
      <c r="D137" s="1">
        <v>5</v>
      </c>
      <c r="E137" s="1">
        <v>102.18</v>
      </c>
      <c r="F137" s="1">
        <v>0.09</v>
      </c>
      <c r="G137" s="2" t="s">
        <v>560</v>
      </c>
      <c r="H137" s="10">
        <v>-65.67</v>
      </c>
      <c r="I137" s="7">
        <v>19.98</v>
      </c>
      <c r="J137" s="7">
        <v>4</v>
      </c>
      <c r="K137" s="2" t="s">
        <v>838</v>
      </c>
      <c r="L137" s="16" t="s">
        <v>921</v>
      </c>
      <c r="M137" s="16" t="s">
        <v>921</v>
      </c>
      <c r="N137" s="2" t="s">
        <v>564</v>
      </c>
      <c r="O137" s="2" t="s">
        <v>569</v>
      </c>
      <c r="P137" s="2" t="s">
        <v>572</v>
      </c>
      <c r="Q137" s="1" t="s">
        <v>658</v>
      </c>
      <c r="R137" s="2" t="s">
        <v>585</v>
      </c>
      <c r="S137" s="8">
        <f>B137+7</f>
        <v>40370</v>
      </c>
    </row>
    <row r="138" spans="1:19" x14ac:dyDescent="0.15">
      <c r="A138" s="1">
        <v>11714</v>
      </c>
      <c r="B138" s="6">
        <f>DATE(2012,12,31)-1245</f>
        <v>40029</v>
      </c>
      <c r="C138" s="2"/>
      <c r="D138" s="1">
        <v>1</v>
      </c>
      <c r="E138" s="1">
        <v>3501.79</v>
      </c>
      <c r="F138" s="1">
        <v>0.01</v>
      </c>
      <c r="G138" s="2" t="s">
        <v>562</v>
      </c>
      <c r="H138" s="10">
        <v>-7838.3346000000001</v>
      </c>
      <c r="I138" s="7">
        <v>3502.14</v>
      </c>
      <c r="J138" s="7">
        <v>8.73</v>
      </c>
      <c r="K138" s="2" t="s">
        <v>826</v>
      </c>
      <c r="L138" s="16" t="s">
        <v>921</v>
      </c>
      <c r="M138" s="16" t="s">
        <v>921</v>
      </c>
      <c r="N138" s="2" t="s">
        <v>567</v>
      </c>
      <c r="O138" s="2" t="s">
        <v>569</v>
      </c>
      <c r="P138" s="2" t="s">
        <v>583</v>
      </c>
      <c r="Q138" s="1" t="s">
        <v>618</v>
      </c>
      <c r="R138" s="2" t="s">
        <v>588</v>
      </c>
      <c r="S138" s="8">
        <f>B138+1</f>
        <v>40030</v>
      </c>
    </row>
    <row r="139" spans="1:19" x14ac:dyDescent="0.15">
      <c r="A139" s="1">
        <v>11714</v>
      </c>
      <c r="B139" s="6">
        <f>DATE(2012,12,31)-1245</f>
        <v>40029</v>
      </c>
      <c r="C139" s="2" t="s">
        <v>917</v>
      </c>
      <c r="D139" s="1">
        <v>9</v>
      </c>
      <c r="E139" s="1">
        <v>141.83000000000001</v>
      </c>
      <c r="F139" s="1">
        <v>0.06</v>
      </c>
      <c r="G139" s="2" t="s">
        <v>560</v>
      </c>
      <c r="H139" s="10">
        <v>-35.69</v>
      </c>
      <c r="I139" s="7">
        <v>15.73</v>
      </c>
      <c r="J139" s="7">
        <v>7.42</v>
      </c>
      <c r="K139" s="2" t="s">
        <v>826</v>
      </c>
      <c r="L139" s="16" t="s">
        <v>921</v>
      </c>
      <c r="M139" s="16" t="s">
        <v>921</v>
      </c>
      <c r="N139" s="2" t="s">
        <v>567</v>
      </c>
      <c r="O139" s="2" t="s">
        <v>568</v>
      </c>
      <c r="P139" s="2" t="s">
        <v>89</v>
      </c>
      <c r="Q139" s="1" t="s">
        <v>240</v>
      </c>
      <c r="R139" s="2" t="s">
        <v>587</v>
      </c>
      <c r="S139" s="8">
        <f>B139+1</f>
        <v>40030</v>
      </c>
    </row>
    <row r="140" spans="1:19" x14ac:dyDescent="0.15">
      <c r="A140" s="1">
        <v>11748</v>
      </c>
      <c r="B140" s="6">
        <f>DATE(2012,12,31)-1307</f>
        <v>39967</v>
      </c>
      <c r="C140" s="2" t="s">
        <v>915</v>
      </c>
      <c r="D140" s="1">
        <v>23</v>
      </c>
      <c r="E140" s="1">
        <v>3503.12</v>
      </c>
      <c r="F140" s="1">
        <v>0.01</v>
      </c>
      <c r="G140" s="2" t="s">
        <v>562</v>
      </c>
      <c r="H140" s="10">
        <v>-168.14</v>
      </c>
      <c r="I140" s="7">
        <v>145.97999999999999</v>
      </c>
      <c r="J140" s="7">
        <v>46.2</v>
      </c>
      <c r="K140" s="2" t="s">
        <v>826</v>
      </c>
      <c r="L140" s="16" t="s">
        <v>921</v>
      </c>
      <c r="M140" s="16" t="s">
        <v>921</v>
      </c>
      <c r="N140" s="2" t="s">
        <v>567</v>
      </c>
      <c r="O140" s="2" t="s">
        <v>570</v>
      </c>
      <c r="P140" s="2" t="s">
        <v>578</v>
      </c>
      <c r="Q140" s="1" t="s">
        <v>126</v>
      </c>
      <c r="R140" s="2" t="s">
        <v>588</v>
      </c>
      <c r="S140" s="8">
        <f>B140+0</f>
        <v>39967</v>
      </c>
    </row>
    <row r="141" spans="1:19" x14ac:dyDescent="0.15">
      <c r="A141" s="1">
        <v>11780</v>
      </c>
      <c r="B141" s="6">
        <f>DATE(2012,12,31)-832</f>
        <v>40442</v>
      </c>
      <c r="C141" s="2" t="s">
        <v>917</v>
      </c>
      <c r="D141" s="1">
        <v>7</v>
      </c>
      <c r="E141" s="1">
        <v>54.23</v>
      </c>
      <c r="F141" s="1">
        <v>0.08</v>
      </c>
      <c r="G141" s="2" t="s">
        <v>560</v>
      </c>
      <c r="H141" s="10">
        <v>-16.46</v>
      </c>
      <c r="I141" s="7">
        <v>7.28</v>
      </c>
      <c r="J141" s="7">
        <v>5.47</v>
      </c>
      <c r="K141" s="2" t="s">
        <v>822</v>
      </c>
      <c r="L141" s="16" t="s">
        <v>921</v>
      </c>
      <c r="M141" s="16" t="s">
        <v>921</v>
      </c>
      <c r="N141" s="2" t="s">
        <v>565</v>
      </c>
      <c r="O141" s="2" t="s">
        <v>568</v>
      </c>
      <c r="P141" s="2" t="s">
        <v>573</v>
      </c>
      <c r="Q141" s="1" t="s">
        <v>263</v>
      </c>
      <c r="R141" s="2" t="s">
        <v>585</v>
      </c>
      <c r="S141" s="8">
        <f>B141+1</f>
        <v>40443</v>
      </c>
    </row>
    <row r="142" spans="1:19" x14ac:dyDescent="0.15">
      <c r="A142" s="1">
        <v>12007</v>
      </c>
      <c r="B142" s="6">
        <f>DATE(2012,12,31)-1191</f>
        <v>40083</v>
      </c>
      <c r="C142" s="2" t="s">
        <v>915</v>
      </c>
      <c r="D142" s="1">
        <v>42</v>
      </c>
      <c r="E142" s="1">
        <v>152.26</v>
      </c>
      <c r="F142" s="1">
        <v>0.04</v>
      </c>
      <c r="G142" s="2" t="s">
        <v>560</v>
      </c>
      <c r="H142" s="10">
        <v>64.989999999999995</v>
      </c>
      <c r="I142" s="7">
        <v>3.69</v>
      </c>
      <c r="J142" s="7">
        <v>0.5</v>
      </c>
      <c r="K142" s="2" t="s">
        <v>848</v>
      </c>
      <c r="L142" s="16" t="s">
        <v>921</v>
      </c>
      <c r="M142" s="16" t="s">
        <v>921</v>
      </c>
      <c r="N142" s="2" t="s">
        <v>567</v>
      </c>
      <c r="O142" s="2" t="s">
        <v>568</v>
      </c>
      <c r="P142" s="2" t="s">
        <v>582</v>
      </c>
      <c r="Q142" s="1" t="s">
        <v>734</v>
      </c>
      <c r="R142" s="2" t="s">
        <v>585</v>
      </c>
      <c r="S142" s="8">
        <f>B142+2</f>
        <v>40085</v>
      </c>
    </row>
    <row r="143" spans="1:19" x14ac:dyDescent="0.15">
      <c r="A143" s="1">
        <v>12039</v>
      </c>
      <c r="B143" s="6">
        <f>DATE(2012,12,31)-929</f>
        <v>40345</v>
      </c>
      <c r="C143" s="2" t="s">
        <v>913</v>
      </c>
      <c r="D143" s="1">
        <v>13</v>
      </c>
      <c r="E143" s="1">
        <v>2048.5679999999998</v>
      </c>
      <c r="F143" s="1">
        <v>0.1</v>
      </c>
      <c r="G143" s="2" t="s">
        <v>560</v>
      </c>
      <c r="H143" s="10">
        <v>-259.98500000000001</v>
      </c>
      <c r="I143" s="7">
        <v>205.99</v>
      </c>
      <c r="J143" s="7">
        <v>8.99</v>
      </c>
      <c r="K143" s="2" t="s">
        <v>877</v>
      </c>
      <c r="L143" s="16" t="s">
        <v>921</v>
      </c>
      <c r="M143" s="16" t="s">
        <v>921</v>
      </c>
      <c r="N143" s="2" t="s">
        <v>567</v>
      </c>
      <c r="O143" s="2" t="s">
        <v>569</v>
      </c>
      <c r="P143" s="2" t="s">
        <v>87</v>
      </c>
      <c r="Q143" s="1" t="s">
        <v>601</v>
      </c>
      <c r="R143" s="2" t="s">
        <v>585</v>
      </c>
      <c r="S143" s="8">
        <f>B143+2</f>
        <v>40347</v>
      </c>
    </row>
    <row r="144" spans="1:19" x14ac:dyDescent="0.15">
      <c r="A144" s="1">
        <v>12066</v>
      </c>
      <c r="B144" s="6">
        <f>DATE(2012,12,31)-694</f>
        <v>40580</v>
      </c>
      <c r="C144" s="2" t="s">
        <v>914</v>
      </c>
      <c r="D144" s="1">
        <v>27</v>
      </c>
      <c r="E144" s="1">
        <v>4442.049</v>
      </c>
      <c r="F144" s="1">
        <v>0.1</v>
      </c>
      <c r="G144" s="2" t="s">
        <v>560</v>
      </c>
      <c r="H144" s="10">
        <v>720.95399999999995</v>
      </c>
      <c r="I144" s="7">
        <v>200.99</v>
      </c>
      <c r="J144" s="7">
        <v>8.08</v>
      </c>
      <c r="K144" s="2" t="s">
        <v>808</v>
      </c>
      <c r="L144" s="16" t="s">
        <v>921</v>
      </c>
      <c r="M144" s="16" t="s">
        <v>921</v>
      </c>
      <c r="N144" s="2" t="s">
        <v>565</v>
      </c>
      <c r="O144" s="2" t="s">
        <v>569</v>
      </c>
      <c r="P144" s="2" t="s">
        <v>87</v>
      </c>
      <c r="Q144" s="1" t="s">
        <v>396</v>
      </c>
      <c r="R144" s="2" t="s">
        <v>585</v>
      </c>
      <c r="S144" s="8">
        <f>B144+1</f>
        <v>40581</v>
      </c>
    </row>
    <row r="145" spans="1:19" x14ac:dyDescent="0.15">
      <c r="A145" s="1">
        <v>12262</v>
      </c>
      <c r="B145" s="6">
        <f>DATE(2012,12,31)-387</f>
        <v>40887</v>
      </c>
      <c r="C145" s="2" t="s">
        <v>916</v>
      </c>
      <c r="D145" s="1">
        <v>45</v>
      </c>
      <c r="E145" s="1">
        <v>1212.9280000000001</v>
      </c>
      <c r="F145" s="1">
        <v>0.02</v>
      </c>
      <c r="G145" s="2" t="s">
        <v>562</v>
      </c>
      <c r="H145" s="10">
        <v>-1460.77</v>
      </c>
      <c r="I145" s="7">
        <v>31.76</v>
      </c>
      <c r="J145" s="7">
        <v>45.51</v>
      </c>
      <c r="K145" s="2" t="s">
        <v>760</v>
      </c>
      <c r="L145" s="16" t="s">
        <v>921</v>
      </c>
      <c r="M145" s="16" t="s">
        <v>921</v>
      </c>
      <c r="N145" s="2" t="s">
        <v>564</v>
      </c>
      <c r="O145" s="2" t="s">
        <v>570</v>
      </c>
      <c r="P145" s="2" t="s">
        <v>578</v>
      </c>
      <c r="Q145" s="1" t="s">
        <v>184</v>
      </c>
      <c r="R145" s="2" t="s">
        <v>588</v>
      </c>
      <c r="S145" s="8">
        <f>B145+5</f>
        <v>40892</v>
      </c>
    </row>
    <row r="146" spans="1:19" x14ac:dyDescent="0.15">
      <c r="A146" s="1">
        <v>12486</v>
      </c>
      <c r="B146" s="6">
        <f>DATE(2012,12,31)-680</f>
        <v>40594</v>
      </c>
      <c r="C146" s="2" t="s">
        <v>913</v>
      </c>
      <c r="D146" s="1">
        <v>31</v>
      </c>
      <c r="E146" s="1">
        <v>3081.33</v>
      </c>
      <c r="F146" s="1">
        <v>0.08</v>
      </c>
      <c r="G146" s="2" t="s">
        <v>562</v>
      </c>
      <c r="H146" s="10">
        <v>-1341.11</v>
      </c>
      <c r="I146" s="7">
        <v>100.98</v>
      </c>
      <c r="J146" s="7">
        <v>57.38</v>
      </c>
      <c r="K146" s="2" t="s">
        <v>785</v>
      </c>
      <c r="L146" s="16" t="s">
        <v>921</v>
      </c>
      <c r="M146" s="16" t="s">
        <v>921</v>
      </c>
      <c r="N146" s="2" t="s">
        <v>567</v>
      </c>
      <c r="O146" s="2" t="s">
        <v>570</v>
      </c>
      <c r="P146" s="2" t="s">
        <v>581</v>
      </c>
      <c r="Q146" s="1" t="s">
        <v>662</v>
      </c>
      <c r="R146" s="2" t="s">
        <v>588</v>
      </c>
      <c r="S146" s="8">
        <f>B146+1</f>
        <v>40595</v>
      </c>
    </row>
    <row r="147" spans="1:19" x14ac:dyDescent="0.15">
      <c r="A147" s="1">
        <v>12486</v>
      </c>
      <c r="B147" s="6">
        <f>DATE(2012,12,31)-680</f>
        <v>40594</v>
      </c>
      <c r="C147" s="2" t="s">
        <v>913</v>
      </c>
      <c r="D147" s="1">
        <v>42</v>
      </c>
      <c r="E147" s="1">
        <v>1692.56</v>
      </c>
      <c r="F147" s="1">
        <v>0.04</v>
      </c>
      <c r="G147" s="2" t="s">
        <v>560</v>
      </c>
      <c r="H147" s="10">
        <v>275.5</v>
      </c>
      <c r="I147" s="7">
        <v>40.98</v>
      </c>
      <c r="J147" s="7">
        <v>7.2</v>
      </c>
      <c r="K147" s="2" t="s">
        <v>785</v>
      </c>
      <c r="L147" s="16" t="s">
        <v>921</v>
      </c>
      <c r="M147" s="16" t="s">
        <v>921</v>
      </c>
      <c r="N147" s="2" t="s">
        <v>567</v>
      </c>
      <c r="O147" s="2" t="s">
        <v>568</v>
      </c>
      <c r="P147" s="2" t="s">
        <v>576</v>
      </c>
      <c r="Q147" s="1" t="s">
        <v>14</v>
      </c>
      <c r="R147" s="2" t="s">
        <v>585</v>
      </c>
      <c r="S147" s="8">
        <f>B147+1</f>
        <v>40595</v>
      </c>
    </row>
    <row r="148" spans="1:19" x14ac:dyDescent="0.15">
      <c r="A148" s="1">
        <v>12580</v>
      </c>
      <c r="B148" s="6">
        <f>DATE(2012,12,31)-1083</f>
        <v>40191</v>
      </c>
      <c r="C148" s="2" t="s">
        <v>916</v>
      </c>
      <c r="D148" s="1">
        <v>50</v>
      </c>
      <c r="E148" s="1">
        <v>8038.08</v>
      </c>
      <c r="F148" s="1">
        <v>0.1</v>
      </c>
      <c r="G148" s="2" t="s">
        <v>560</v>
      </c>
      <c r="H148" s="10">
        <v>2821.4050000000002</v>
      </c>
      <c r="I148" s="7">
        <v>172.99</v>
      </c>
      <c r="J148" s="7">
        <v>19.989999999999998</v>
      </c>
      <c r="K148" s="2" t="s">
        <v>761</v>
      </c>
      <c r="L148" s="16" t="s">
        <v>921</v>
      </c>
      <c r="M148" s="16" t="s">
        <v>921</v>
      </c>
      <c r="N148" s="2" t="s">
        <v>565</v>
      </c>
      <c r="O148" s="2" t="s">
        <v>568</v>
      </c>
      <c r="P148" s="2" t="s">
        <v>88</v>
      </c>
      <c r="Q148" s="1" t="s">
        <v>756</v>
      </c>
      <c r="R148" s="2" t="s">
        <v>585</v>
      </c>
      <c r="S148" s="8">
        <f>B148+2</f>
        <v>40193</v>
      </c>
    </row>
    <row r="149" spans="1:19" x14ac:dyDescent="0.15">
      <c r="A149" s="1">
        <v>12612</v>
      </c>
      <c r="B149" s="6">
        <f>DATE(2012,12,31)-741</f>
        <v>40533</v>
      </c>
      <c r="C149" s="2" t="s">
        <v>916</v>
      </c>
      <c r="D149" s="1">
        <v>29</v>
      </c>
      <c r="E149" s="1">
        <v>2360.98</v>
      </c>
      <c r="F149" s="1">
        <v>0.02</v>
      </c>
      <c r="G149" s="2" t="s">
        <v>560</v>
      </c>
      <c r="H149" s="10">
        <v>611.92999999999995</v>
      </c>
      <c r="I149" s="7">
        <v>78.650000000000006</v>
      </c>
      <c r="J149" s="7">
        <v>13.99</v>
      </c>
      <c r="K149" s="2" t="s">
        <v>760</v>
      </c>
      <c r="L149" s="16" t="s">
        <v>921</v>
      </c>
      <c r="M149" s="16" t="s">
        <v>921</v>
      </c>
      <c r="N149" s="2" t="s">
        <v>564</v>
      </c>
      <c r="O149" s="2" t="s">
        <v>568</v>
      </c>
      <c r="P149" s="2" t="s">
        <v>576</v>
      </c>
      <c r="Q149" s="1" t="s">
        <v>79</v>
      </c>
      <c r="R149" s="2" t="s">
        <v>589</v>
      </c>
      <c r="S149" s="8">
        <f>B149+0</f>
        <v>40533</v>
      </c>
    </row>
    <row r="150" spans="1:19" x14ac:dyDescent="0.15">
      <c r="A150" s="1">
        <v>12612</v>
      </c>
      <c r="B150" s="6">
        <f>DATE(2012,12,31)-741</f>
        <v>40533</v>
      </c>
      <c r="C150" s="2" t="s">
        <v>916</v>
      </c>
      <c r="D150" s="1">
        <v>49</v>
      </c>
      <c r="E150" s="1">
        <v>182.2</v>
      </c>
      <c r="F150" s="1">
        <v>0.09</v>
      </c>
      <c r="G150" s="2" t="s">
        <v>561</v>
      </c>
      <c r="H150" s="10">
        <v>82.21</v>
      </c>
      <c r="I150" s="7">
        <v>3.75</v>
      </c>
      <c r="J150" s="7">
        <v>0.5</v>
      </c>
      <c r="K150" s="2" t="s">
        <v>760</v>
      </c>
      <c r="L150" s="16" t="s">
        <v>921</v>
      </c>
      <c r="M150" s="16" t="s">
        <v>921</v>
      </c>
      <c r="N150" s="2" t="s">
        <v>564</v>
      </c>
      <c r="O150" s="2" t="s">
        <v>568</v>
      </c>
      <c r="P150" s="2" t="s">
        <v>582</v>
      </c>
      <c r="Q150" s="1" t="s">
        <v>324</v>
      </c>
      <c r="R150" s="2" t="s">
        <v>585</v>
      </c>
      <c r="S150" s="8">
        <f>B150+5</f>
        <v>40538</v>
      </c>
    </row>
    <row r="151" spans="1:19" x14ac:dyDescent="0.15">
      <c r="A151" s="1">
        <v>12706</v>
      </c>
      <c r="B151" s="6">
        <f>DATE(2012,12,31)-1137</f>
        <v>40137</v>
      </c>
      <c r="C151" s="2" t="s">
        <v>917</v>
      </c>
      <c r="D151" s="1">
        <v>46</v>
      </c>
      <c r="E151" s="1">
        <v>2494.69</v>
      </c>
      <c r="F151" s="1">
        <v>0.09</v>
      </c>
      <c r="G151" s="2" t="s">
        <v>562</v>
      </c>
      <c r="H151" s="10">
        <v>-937.06</v>
      </c>
      <c r="I151" s="7">
        <v>58.14</v>
      </c>
      <c r="J151" s="7">
        <v>36.61</v>
      </c>
      <c r="K151" s="2" t="s">
        <v>785</v>
      </c>
      <c r="L151" s="16" t="s">
        <v>921</v>
      </c>
      <c r="M151" s="16" t="s">
        <v>921</v>
      </c>
      <c r="N151" s="2" t="s">
        <v>567</v>
      </c>
      <c r="O151" s="2" t="s">
        <v>570</v>
      </c>
      <c r="P151" s="2" t="s">
        <v>581</v>
      </c>
      <c r="Q151" s="1" t="s">
        <v>381</v>
      </c>
      <c r="R151" s="2" t="s">
        <v>588</v>
      </c>
      <c r="S151" s="8">
        <f>B151+1</f>
        <v>40138</v>
      </c>
    </row>
    <row r="152" spans="1:19" x14ac:dyDescent="0.15">
      <c r="A152" s="1">
        <v>12708</v>
      </c>
      <c r="B152" s="6">
        <f>DATE(2012,12,31)-1089</f>
        <v>40185</v>
      </c>
      <c r="C152" s="2" t="s">
        <v>916</v>
      </c>
      <c r="D152" s="1">
        <v>44</v>
      </c>
      <c r="E152" s="1">
        <v>159.41</v>
      </c>
      <c r="F152" s="1">
        <v>0</v>
      </c>
      <c r="G152" s="2" t="s">
        <v>561</v>
      </c>
      <c r="H152" s="10">
        <v>34.68</v>
      </c>
      <c r="I152" s="7">
        <v>3.28</v>
      </c>
      <c r="J152" s="7">
        <v>0.98</v>
      </c>
      <c r="K152" s="2" t="s">
        <v>804</v>
      </c>
      <c r="L152" s="16" t="s">
        <v>921</v>
      </c>
      <c r="M152" s="16" t="s">
        <v>921</v>
      </c>
      <c r="N152" s="2" t="s">
        <v>567</v>
      </c>
      <c r="O152" s="2" t="s">
        <v>568</v>
      </c>
      <c r="P152" s="2" t="s">
        <v>571</v>
      </c>
      <c r="Q152" s="1" t="s">
        <v>267</v>
      </c>
      <c r="R152" s="2" t="s">
        <v>584</v>
      </c>
      <c r="S152" s="8">
        <f>B152+5</f>
        <v>40190</v>
      </c>
    </row>
    <row r="153" spans="1:19" x14ac:dyDescent="0.15">
      <c r="A153" s="1">
        <v>12930</v>
      </c>
      <c r="B153" s="6">
        <f>DATE(2012,12,31)-403</f>
        <v>40871</v>
      </c>
      <c r="C153" s="2" t="s">
        <v>913</v>
      </c>
      <c r="D153" s="1">
        <v>49</v>
      </c>
      <c r="E153" s="1">
        <v>1147.6400000000001</v>
      </c>
      <c r="F153" s="1">
        <v>0.06</v>
      </c>
      <c r="G153" s="2" t="s">
        <v>560</v>
      </c>
      <c r="H153" s="10">
        <v>261.87</v>
      </c>
      <c r="I153" s="7">
        <v>22.98</v>
      </c>
      <c r="J153" s="7">
        <v>4.5</v>
      </c>
      <c r="K153" s="2" t="s">
        <v>766</v>
      </c>
      <c r="L153" s="16" t="s">
        <v>921</v>
      </c>
      <c r="M153" s="16" t="s">
        <v>921</v>
      </c>
      <c r="N153" s="2" t="s">
        <v>567</v>
      </c>
      <c r="O153" s="2" t="s">
        <v>568</v>
      </c>
      <c r="P153" s="2" t="s">
        <v>576</v>
      </c>
      <c r="Q153" s="1" t="s">
        <v>357</v>
      </c>
      <c r="R153" s="2" t="s">
        <v>585</v>
      </c>
      <c r="S153" s="8">
        <f t="shared" ref="S153:S158" si="1">B153+1</f>
        <v>40872</v>
      </c>
    </row>
    <row r="154" spans="1:19" x14ac:dyDescent="0.15">
      <c r="A154" s="1">
        <v>12965</v>
      </c>
      <c r="B154" s="6">
        <f>DATE(2012,12,31)-920</f>
        <v>40354</v>
      </c>
      <c r="C154" s="2" t="s">
        <v>914</v>
      </c>
      <c r="D154" s="1">
        <v>7</v>
      </c>
      <c r="E154" s="1">
        <v>44.74</v>
      </c>
      <c r="F154" s="1">
        <v>0.04</v>
      </c>
      <c r="G154" s="2" t="s">
        <v>560</v>
      </c>
      <c r="H154" s="10">
        <v>-20.102</v>
      </c>
      <c r="I154" s="7">
        <v>5.74</v>
      </c>
      <c r="J154" s="7">
        <v>5.01</v>
      </c>
      <c r="K154" s="2" t="s">
        <v>893</v>
      </c>
      <c r="L154" s="16" t="s">
        <v>921</v>
      </c>
      <c r="M154" s="16" t="s">
        <v>921</v>
      </c>
      <c r="N154" s="2" t="s">
        <v>567</v>
      </c>
      <c r="O154" s="2" t="s">
        <v>568</v>
      </c>
      <c r="P154" s="2" t="s">
        <v>88</v>
      </c>
      <c r="Q154" s="1" t="s">
        <v>350</v>
      </c>
      <c r="R154" s="2" t="s">
        <v>585</v>
      </c>
      <c r="S154" s="8">
        <f t="shared" si="1"/>
        <v>40355</v>
      </c>
    </row>
    <row r="155" spans="1:19" x14ac:dyDescent="0.15">
      <c r="A155" s="1">
        <v>12965</v>
      </c>
      <c r="B155" s="6">
        <f>DATE(2012,12,31)-920</f>
        <v>40354</v>
      </c>
      <c r="C155" s="2" t="s">
        <v>914</v>
      </c>
      <c r="D155" s="1">
        <v>21</v>
      </c>
      <c r="E155" s="1">
        <v>90.78</v>
      </c>
      <c r="F155" s="1">
        <v>0.06</v>
      </c>
      <c r="G155" s="2" t="s">
        <v>560</v>
      </c>
      <c r="H155" s="10">
        <v>-71.840499999999992</v>
      </c>
      <c r="I155" s="7">
        <v>4.24</v>
      </c>
      <c r="J155" s="7">
        <v>5.41</v>
      </c>
      <c r="K155" s="2" t="s">
        <v>893</v>
      </c>
      <c r="L155" s="16" t="s">
        <v>921</v>
      </c>
      <c r="M155" s="16" t="s">
        <v>921</v>
      </c>
      <c r="N155" s="2" t="s">
        <v>567</v>
      </c>
      <c r="O155" s="2" t="s">
        <v>568</v>
      </c>
      <c r="P155" s="2" t="s">
        <v>88</v>
      </c>
      <c r="Q155" s="1" t="s">
        <v>491</v>
      </c>
      <c r="R155" s="2" t="s">
        <v>585</v>
      </c>
      <c r="S155" s="8">
        <f t="shared" si="1"/>
        <v>40355</v>
      </c>
    </row>
    <row r="156" spans="1:19" x14ac:dyDescent="0.15">
      <c r="A156" s="1">
        <v>13090</v>
      </c>
      <c r="B156" s="6">
        <f>DATE(2012,12,31)-889</f>
        <v>40385</v>
      </c>
      <c r="C156" s="2" t="s">
        <v>915</v>
      </c>
      <c r="D156" s="1">
        <v>15</v>
      </c>
      <c r="E156" s="1">
        <v>150.19999999999999</v>
      </c>
      <c r="F156" s="1">
        <v>0.02</v>
      </c>
      <c r="G156" s="2" t="s">
        <v>560</v>
      </c>
      <c r="H156" s="10">
        <v>12.97</v>
      </c>
      <c r="I156" s="7">
        <v>9.27</v>
      </c>
      <c r="J156" s="7">
        <v>4.3899999999999997</v>
      </c>
      <c r="K156" s="2" t="s">
        <v>906</v>
      </c>
      <c r="L156" s="16" t="s">
        <v>921</v>
      </c>
      <c r="M156" s="16" t="s">
        <v>921</v>
      </c>
      <c r="N156" s="2" t="s">
        <v>567</v>
      </c>
      <c r="O156" s="2" t="s">
        <v>568</v>
      </c>
      <c r="P156" s="2" t="s">
        <v>573</v>
      </c>
      <c r="Q156" s="1" t="s">
        <v>299</v>
      </c>
      <c r="R156" s="2" t="s">
        <v>584</v>
      </c>
      <c r="S156" s="8">
        <f t="shared" si="1"/>
        <v>40386</v>
      </c>
    </row>
    <row r="157" spans="1:19" x14ac:dyDescent="0.15">
      <c r="A157" s="1">
        <v>13157</v>
      </c>
      <c r="B157" s="6">
        <f>DATE(2012,12,31)-324</f>
        <v>40950</v>
      </c>
      <c r="C157" s="2" t="s">
        <v>914</v>
      </c>
      <c r="D157" s="1">
        <v>2</v>
      </c>
      <c r="E157" s="1">
        <v>38.93</v>
      </c>
      <c r="F157" s="1">
        <v>7.0000000000000007E-2</v>
      </c>
      <c r="G157" s="2" t="s">
        <v>560</v>
      </c>
      <c r="H157" s="10">
        <v>-102.432</v>
      </c>
      <c r="I157" s="7">
        <v>20.99</v>
      </c>
      <c r="J157" s="7">
        <v>4.8099999999999996</v>
      </c>
      <c r="K157" s="2" t="s">
        <v>403</v>
      </c>
      <c r="L157" s="16" t="s">
        <v>921</v>
      </c>
      <c r="M157" s="16" t="s">
        <v>921</v>
      </c>
      <c r="N157" s="2" t="s">
        <v>567</v>
      </c>
      <c r="O157" s="2" t="s">
        <v>569</v>
      </c>
      <c r="P157" s="2" t="s">
        <v>87</v>
      </c>
      <c r="Q157" s="1" t="s">
        <v>424</v>
      </c>
      <c r="R157" s="2" t="s">
        <v>589</v>
      </c>
      <c r="S157" s="8">
        <f t="shared" si="1"/>
        <v>40951</v>
      </c>
    </row>
    <row r="158" spans="1:19" x14ac:dyDescent="0.15">
      <c r="A158" s="1">
        <v>13218</v>
      </c>
      <c r="B158" s="6">
        <f>DATE(2012,12,31)-1325</f>
        <v>39949</v>
      </c>
      <c r="C158" s="2" t="s">
        <v>913</v>
      </c>
      <c r="D158" s="1">
        <v>18</v>
      </c>
      <c r="E158" s="1">
        <v>513.08000000000004</v>
      </c>
      <c r="F158" s="1">
        <v>0.03</v>
      </c>
      <c r="G158" s="2" t="s">
        <v>560</v>
      </c>
      <c r="H158" s="10">
        <v>198.9425</v>
      </c>
      <c r="I158" s="7">
        <v>28.53</v>
      </c>
      <c r="J158" s="7">
        <v>1.49</v>
      </c>
      <c r="K158" s="2" t="s">
        <v>848</v>
      </c>
      <c r="L158" s="16" t="s">
        <v>921</v>
      </c>
      <c r="M158" s="16" t="s">
        <v>921</v>
      </c>
      <c r="N158" s="2" t="s">
        <v>567</v>
      </c>
      <c r="O158" s="2" t="s">
        <v>568</v>
      </c>
      <c r="P158" s="2" t="s">
        <v>88</v>
      </c>
      <c r="Q158" s="1" t="s">
        <v>543</v>
      </c>
      <c r="R158" s="2" t="s">
        <v>585</v>
      </c>
      <c r="S158" s="8">
        <f t="shared" si="1"/>
        <v>39950</v>
      </c>
    </row>
    <row r="159" spans="1:19" x14ac:dyDescent="0.15">
      <c r="A159" s="1">
        <v>13218</v>
      </c>
      <c r="B159" s="6">
        <f>DATE(2012,12,31)-1325</f>
        <v>39949</v>
      </c>
      <c r="C159" s="2" t="s">
        <v>913</v>
      </c>
      <c r="D159" s="1">
        <v>16</v>
      </c>
      <c r="E159" s="1">
        <v>98.8</v>
      </c>
      <c r="F159" s="1">
        <v>7.0000000000000007E-2</v>
      </c>
      <c r="G159" s="2" t="s">
        <v>560</v>
      </c>
      <c r="H159" s="10">
        <v>-62</v>
      </c>
      <c r="I159" s="7">
        <v>5.98</v>
      </c>
      <c r="J159" s="7">
        <v>7.15</v>
      </c>
      <c r="K159" s="2" t="s">
        <v>848</v>
      </c>
      <c r="L159" s="16" t="s">
        <v>921</v>
      </c>
      <c r="M159" s="16" t="s">
        <v>921</v>
      </c>
      <c r="N159" s="2" t="s">
        <v>567</v>
      </c>
      <c r="O159" s="2" t="s">
        <v>568</v>
      </c>
      <c r="P159" s="2" t="s">
        <v>573</v>
      </c>
      <c r="Q159" s="1" t="s">
        <v>681</v>
      </c>
      <c r="R159" s="2" t="s">
        <v>585</v>
      </c>
      <c r="S159" s="8">
        <f>B159+2</f>
        <v>39951</v>
      </c>
    </row>
    <row r="160" spans="1:19" x14ac:dyDescent="0.15">
      <c r="A160" s="1">
        <v>13314</v>
      </c>
      <c r="B160" s="6">
        <f>DATE(2012,12,31)-1328</f>
        <v>39946</v>
      </c>
      <c r="C160" s="2" t="s">
        <v>913</v>
      </c>
      <c r="D160" s="1">
        <v>34</v>
      </c>
      <c r="E160" s="1">
        <v>89.4</v>
      </c>
      <c r="F160" s="1">
        <v>0.08</v>
      </c>
      <c r="G160" s="2" t="s">
        <v>561</v>
      </c>
      <c r="H160" s="10">
        <v>22.22</v>
      </c>
      <c r="I160" s="7">
        <v>2.62</v>
      </c>
      <c r="J160" s="7">
        <v>0.8</v>
      </c>
      <c r="K160" s="2" t="s">
        <v>829</v>
      </c>
      <c r="L160" s="16" t="s">
        <v>921</v>
      </c>
      <c r="M160" s="16" t="s">
        <v>921</v>
      </c>
      <c r="N160" s="2" t="s">
        <v>565</v>
      </c>
      <c r="O160" s="2" t="s">
        <v>568</v>
      </c>
      <c r="P160" s="2" t="s">
        <v>580</v>
      </c>
      <c r="Q160" s="1" t="s">
        <v>18</v>
      </c>
      <c r="R160" s="2" t="s">
        <v>584</v>
      </c>
      <c r="S160" s="8">
        <f>B160+2</f>
        <v>39948</v>
      </c>
    </row>
    <row r="161" spans="1:19" x14ac:dyDescent="0.15">
      <c r="A161" s="1">
        <v>13536</v>
      </c>
      <c r="B161" s="6">
        <f>DATE(2012,12,31)-1231</f>
        <v>40043</v>
      </c>
      <c r="C161" s="2" t="s">
        <v>914</v>
      </c>
      <c r="D161" s="1">
        <v>23</v>
      </c>
      <c r="E161" s="1">
        <v>123.15</v>
      </c>
      <c r="F161" s="1">
        <v>0.05</v>
      </c>
      <c r="G161" s="2" t="s">
        <v>560</v>
      </c>
      <c r="H161" s="10">
        <v>22.98</v>
      </c>
      <c r="I161" s="7">
        <v>5.18</v>
      </c>
      <c r="J161" s="7">
        <v>2.04</v>
      </c>
      <c r="K161" s="2" t="s">
        <v>821</v>
      </c>
      <c r="L161" s="16" t="s">
        <v>921</v>
      </c>
      <c r="M161" s="16" t="s">
        <v>921</v>
      </c>
      <c r="N161" s="2" t="s">
        <v>564</v>
      </c>
      <c r="O161" s="2" t="s">
        <v>568</v>
      </c>
      <c r="P161" s="2" t="s">
        <v>573</v>
      </c>
      <c r="Q161" s="1" t="s">
        <v>140</v>
      </c>
      <c r="R161" s="2" t="s">
        <v>584</v>
      </c>
      <c r="S161" s="8">
        <f>B161+2</f>
        <v>40045</v>
      </c>
    </row>
    <row r="162" spans="1:19" x14ac:dyDescent="0.15">
      <c r="A162" s="1">
        <v>13569</v>
      </c>
      <c r="B162" s="6">
        <f>DATE(2012,12,31)-631</f>
        <v>40643</v>
      </c>
      <c r="C162" s="2" t="s">
        <v>917</v>
      </c>
      <c r="D162" s="1">
        <v>13</v>
      </c>
      <c r="E162" s="1">
        <v>563.17999999999995</v>
      </c>
      <c r="F162" s="1">
        <v>0.02</v>
      </c>
      <c r="G162" s="2" t="s">
        <v>561</v>
      </c>
      <c r="H162" s="10">
        <v>67.98</v>
      </c>
      <c r="I162" s="7">
        <v>40.98</v>
      </c>
      <c r="J162" s="7">
        <v>7.2</v>
      </c>
      <c r="K162" s="2" t="s">
        <v>877</v>
      </c>
      <c r="L162" s="16" t="s">
        <v>921</v>
      </c>
      <c r="M162" s="16" t="s">
        <v>921</v>
      </c>
      <c r="N162" s="2" t="s">
        <v>567</v>
      </c>
      <c r="O162" s="2" t="s">
        <v>568</v>
      </c>
      <c r="P162" s="2" t="s">
        <v>576</v>
      </c>
      <c r="Q162" s="1" t="s">
        <v>14</v>
      </c>
      <c r="R162" s="2" t="s">
        <v>585</v>
      </c>
      <c r="S162" s="8">
        <f>B162+2</f>
        <v>40645</v>
      </c>
    </row>
    <row r="163" spans="1:19" x14ac:dyDescent="0.15">
      <c r="A163" s="1">
        <v>13569</v>
      </c>
      <c r="B163" s="6">
        <f>DATE(2012,12,31)-631</f>
        <v>40643</v>
      </c>
      <c r="C163" s="2" t="s">
        <v>917</v>
      </c>
      <c r="D163" s="1">
        <v>16</v>
      </c>
      <c r="E163" s="1">
        <v>47.45</v>
      </c>
      <c r="F163" s="1">
        <v>0.05</v>
      </c>
      <c r="G163" s="2" t="s">
        <v>560</v>
      </c>
      <c r="H163" s="10">
        <v>1.071</v>
      </c>
      <c r="I163" s="7">
        <v>2.88</v>
      </c>
      <c r="J163" s="7">
        <v>1.49</v>
      </c>
      <c r="K163" s="2" t="s">
        <v>877</v>
      </c>
      <c r="L163" s="16" t="s">
        <v>921</v>
      </c>
      <c r="M163" s="16" t="s">
        <v>921</v>
      </c>
      <c r="N163" s="2" t="s">
        <v>567</v>
      </c>
      <c r="O163" s="2" t="s">
        <v>568</v>
      </c>
      <c r="P163" s="2" t="s">
        <v>88</v>
      </c>
      <c r="Q163" s="1" t="s">
        <v>553</v>
      </c>
      <c r="R163" s="2" t="s">
        <v>585</v>
      </c>
      <c r="S163" s="8">
        <f>B163+1</f>
        <v>40644</v>
      </c>
    </row>
    <row r="164" spans="1:19" x14ac:dyDescent="0.15">
      <c r="A164" s="1">
        <v>13570</v>
      </c>
      <c r="B164" s="6">
        <f>DATE(2012,12,31)-29</f>
        <v>41245</v>
      </c>
      <c r="C164" s="2" t="s">
        <v>915</v>
      </c>
      <c r="D164" s="1">
        <v>2</v>
      </c>
      <c r="E164" s="1">
        <v>16.97</v>
      </c>
      <c r="F164" s="1">
        <v>0.04</v>
      </c>
      <c r="G164" s="2" t="s">
        <v>560</v>
      </c>
      <c r="H164" s="10">
        <v>-8.8000000000000007</v>
      </c>
      <c r="I164" s="7">
        <v>8.34</v>
      </c>
      <c r="J164" s="7">
        <v>0.96</v>
      </c>
      <c r="K164" s="2" t="s">
        <v>766</v>
      </c>
      <c r="L164" s="16" t="s">
        <v>921</v>
      </c>
      <c r="M164" s="16" t="s">
        <v>921</v>
      </c>
      <c r="N164" s="2" t="s">
        <v>567</v>
      </c>
      <c r="O164" s="2" t="s">
        <v>570</v>
      </c>
      <c r="P164" s="2" t="s">
        <v>579</v>
      </c>
      <c r="Q164" s="1" t="s">
        <v>150</v>
      </c>
      <c r="R164" s="2" t="s">
        <v>584</v>
      </c>
      <c r="S164" s="8">
        <f>B164+1</f>
        <v>41246</v>
      </c>
    </row>
    <row r="165" spans="1:19" x14ac:dyDescent="0.15">
      <c r="A165" s="1">
        <v>13570</v>
      </c>
      <c r="B165" s="6">
        <f>DATE(2012,12,31)-29</f>
        <v>41245</v>
      </c>
      <c r="C165" s="2" t="s">
        <v>915</v>
      </c>
      <c r="D165" s="1">
        <v>42</v>
      </c>
      <c r="E165" s="1">
        <v>4077.7559999999994</v>
      </c>
      <c r="F165" s="1">
        <v>0.04</v>
      </c>
      <c r="G165" s="2" t="s">
        <v>560</v>
      </c>
      <c r="H165" s="10">
        <v>1086.9570000000001</v>
      </c>
      <c r="I165" s="7">
        <v>110.99</v>
      </c>
      <c r="J165" s="7">
        <v>8.99</v>
      </c>
      <c r="K165" s="2" t="s">
        <v>766</v>
      </c>
      <c r="L165" s="16" t="s">
        <v>921</v>
      </c>
      <c r="M165" s="16" t="s">
        <v>921</v>
      </c>
      <c r="N165" s="2" t="s">
        <v>567</v>
      </c>
      <c r="O165" s="2" t="s">
        <v>569</v>
      </c>
      <c r="P165" s="2" t="s">
        <v>87</v>
      </c>
      <c r="Q165" s="1" t="s">
        <v>465</v>
      </c>
      <c r="R165" s="2" t="s">
        <v>585</v>
      </c>
      <c r="S165" s="8">
        <f>B165+0</f>
        <v>41245</v>
      </c>
    </row>
    <row r="166" spans="1:19" x14ac:dyDescent="0.15">
      <c r="A166" s="1">
        <v>13602</v>
      </c>
      <c r="B166" s="6">
        <f>DATE(2012,12,31)-1448</f>
        <v>39826</v>
      </c>
      <c r="C166" s="2" t="s">
        <v>916</v>
      </c>
      <c r="D166" s="1">
        <v>3</v>
      </c>
      <c r="E166" s="1">
        <v>445.34</v>
      </c>
      <c r="F166" s="1">
        <v>0.03</v>
      </c>
      <c r="G166" s="2" t="s">
        <v>562</v>
      </c>
      <c r="H166" s="10">
        <v>-377.90190000000001</v>
      </c>
      <c r="I166" s="7">
        <v>145.44999999999999</v>
      </c>
      <c r="J166" s="7">
        <v>17.850000000000001</v>
      </c>
      <c r="K166" s="2" t="s">
        <v>767</v>
      </c>
      <c r="L166" s="16" t="s">
        <v>921</v>
      </c>
      <c r="M166" s="16" t="s">
        <v>921</v>
      </c>
      <c r="N166" s="2" t="s">
        <v>567</v>
      </c>
      <c r="O166" s="2" t="s">
        <v>569</v>
      </c>
      <c r="P166" s="2" t="s">
        <v>583</v>
      </c>
      <c r="Q166" s="1" t="s">
        <v>544</v>
      </c>
      <c r="R166" s="2" t="s">
        <v>586</v>
      </c>
      <c r="S166" s="8">
        <f>B166+5</f>
        <v>39831</v>
      </c>
    </row>
    <row r="167" spans="1:19" x14ac:dyDescent="0.15">
      <c r="A167" s="1">
        <v>13602</v>
      </c>
      <c r="B167" s="6">
        <f>DATE(2012,12,31)-1448</f>
        <v>39826</v>
      </c>
      <c r="C167" s="2" t="s">
        <v>916</v>
      </c>
      <c r="D167" s="1">
        <v>13</v>
      </c>
      <c r="E167" s="1">
        <v>660.99</v>
      </c>
      <c r="F167" s="1">
        <v>0.02</v>
      </c>
      <c r="G167" s="2" t="s">
        <v>560</v>
      </c>
      <c r="H167" s="10">
        <v>267.67</v>
      </c>
      <c r="I167" s="7">
        <v>48.04</v>
      </c>
      <c r="J167" s="7">
        <v>5.09</v>
      </c>
      <c r="K167" s="2" t="s">
        <v>767</v>
      </c>
      <c r="L167" s="16" t="s">
        <v>921</v>
      </c>
      <c r="M167" s="16" t="s">
        <v>921</v>
      </c>
      <c r="N167" s="2" t="s">
        <v>567</v>
      </c>
      <c r="O167" s="2" t="s">
        <v>568</v>
      </c>
      <c r="P167" s="2" t="s">
        <v>573</v>
      </c>
      <c r="Q167" s="1" t="s">
        <v>224</v>
      </c>
      <c r="R167" s="2" t="s">
        <v>585</v>
      </c>
      <c r="S167" s="8">
        <f>B167+0</f>
        <v>39826</v>
      </c>
    </row>
    <row r="168" spans="1:19" x14ac:dyDescent="0.15">
      <c r="A168" s="1">
        <v>13668</v>
      </c>
      <c r="B168" s="6">
        <f>DATE(2012,12,31)-311</f>
        <v>40963</v>
      </c>
      <c r="C168" s="2" t="s">
        <v>917</v>
      </c>
      <c r="D168" s="1">
        <v>42</v>
      </c>
      <c r="E168" s="1">
        <v>282.61</v>
      </c>
      <c r="F168" s="1">
        <v>0.02</v>
      </c>
      <c r="G168" s="2" t="s">
        <v>560</v>
      </c>
      <c r="H168" s="10">
        <v>-106.36</v>
      </c>
      <c r="I168" s="7">
        <v>6.24</v>
      </c>
      <c r="J168" s="7">
        <v>5.22</v>
      </c>
      <c r="K168" s="2" t="s">
        <v>843</v>
      </c>
      <c r="L168" s="16" t="s">
        <v>921</v>
      </c>
      <c r="M168" s="16" t="s">
        <v>921</v>
      </c>
      <c r="N168" s="2" t="s">
        <v>564</v>
      </c>
      <c r="O168" s="2" t="s">
        <v>570</v>
      </c>
      <c r="P168" s="2" t="s">
        <v>579</v>
      </c>
      <c r="Q168" s="1" t="s">
        <v>165</v>
      </c>
      <c r="R168" s="2" t="s">
        <v>585</v>
      </c>
      <c r="S168" s="8">
        <f>B168+2</f>
        <v>40965</v>
      </c>
    </row>
    <row r="169" spans="1:19" x14ac:dyDescent="0.15">
      <c r="A169" s="1">
        <v>13923</v>
      </c>
      <c r="B169" s="6">
        <f>DATE(2012,12,31)-176</f>
        <v>41098</v>
      </c>
      <c r="C169" s="2" t="s">
        <v>913</v>
      </c>
      <c r="D169" s="1">
        <v>28</v>
      </c>
      <c r="E169" s="1">
        <v>4332.3</v>
      </c>
      <c r="F169" s="1">
        <v>0.08</v>
      </c>
      <c r="G169" s="2" t="s">
        <v>562</v>
      </c>
      <c r="H169" s="10">
        <v>2066.12</v>
      </c>
      <c r="I169" s="7">
        <v>200.97</v>
      </c>
      <c r="J169" s="7">
        <v>15.59</v>
      </c>
      <c r="K169" s="2" t="s">
        <v>807</v>
      </c>
      <c r="L169" s="16" t="s">
        <v>921</v>
      </c>
      <c r="M169" s="16" t="s">
        <v>921</v>
      </c>
      <c r="N169" s="2" t="s">
        <v>564</v>
      </c>
      <c r="O169" s="2" t="s">
        <v>569</v>
      </c>
      <c r="P169" s="2" t="s">
        <v>583</v>
      </c>
      <c r="Q169" s="1" t="s">
        <v>488</v>
      </c>
      <c r="R169" s="2" t="s">
        <v>586</v>
      </c>
      <c r="S169" s="8">
        <f>B169+2</f>
        <v>41100</v>
      </c>
    </row>
    <row r="170" spans="1:19" x14ac:dyDescent="0.15">
      <c r="A170" s="1">
        <v>13958</v>
      </c>
      <c r="B170" s="6">
        <f>DATE(2012,12,31)-1073</f>
        <v>40201</v>
      </c>
      <c r="C170" s="2" t="s">
        <v>916</v>
      </c>
      <c r="D170" s="1">
        <v>11</v>
      </c>
      <c r="E170" s="1">
        <v>808.673</v>
      </c>
      <c r="F170" s="1">
        <v>0.06</v>
      </c>
      <c r="G170" s="2" t="s">
        <v>560</v>
      </c>
      <c r="H170" s="10">
        <v>-10.67</v>
      </c>
      <c r="I170" s="7">
        <v>85.99</v>
      </c>
      <c r="J170" s="7">
        <v>0.99</v>
      </c>
      <c r="K170" s="2" t="s">
        <v>895</v>
      </c>
      <c r="L170" s="16" t="s">
        <v>921</v>
      </c>
      <c r="M170" s="16" t="s">
        <v>921</v>
      </c>
      <c r="N170" s="2" t="s">
        <v>566</v>
      </c>
      <c r="O170" s="2" t="s">
        <v>569</v>
      </c>
      <c r="P170" s="2" t="s">
        <v>87</v>
      </c>
      <c r="Q170" s="1" t="s">
        <v>474</v>
      </c>
      <c r="R170" s="2" t="s">
        <v>584</v>
      </c>
      <c r="S170" s="8">
        <f>B170+9</f>
        <v>40210</v>
      </c>
    </row>
    <row r="171" spans="1:19" x14ac:dyDescent="0.15">
      <c r="A171" s="1">
        <v>13991</v>
      </c>
      <c r="B171" s="6">
        <f>DATE(2012,12,31)-300</f>
        <v>40974</v>
      </c>
      <c r="C171" s="2" t="s">
        <v>913</v>
      </c>
      <c r="D171" s="1">
        <v>24</v>
      </c>
      <c r="E171" s="1">
        <v>170.7</v>
      </c>
      <c r="F171" s="1">
        <v>0</v>
      </c>
      <c r="G171" s="2" t="s">
        <v>560</v>
      </c>
      <c r="H171" s="10">
        <v>-37.880000000000003</v>
      </c>
      <c r="I171" s="7">
        <v>6.48</v>
      </c>
      <c r="J171" s="7">
        <v>2.74</v>
      </c>
      <c r="K171" s="2" t="s">
        <v>786</v>
      </c>
      <c r="L171" s="16" t="s">
        <v>921</v>
      </c>
      <c r="M171" s="16" t="s">
        <v>921</v>
      </c>
      <c r="N171" s="2" t="s">
        <v>567</v>
      </c>
      <c r="O171" s="2" t="s">
        <v>569</v>
      </c>
      <c r="P171" s="2" t="s">
        <v>572</v>
      </c>
      <c r="Q171" s="1" t="s">
        <v>469</v>
      </c>
      <c r="R171" s="2" t="s">
        <v>587</v>
      </c>
      <c r="S171" s="8">
        <f>B171+2</f>
        <v>40976</v>
      </c>
    </row>
    <row r="172" spans="1:19" x14ac:dyDescent="0.15">
      <c r="A172" s="1">
        <v>13991</v>
      </c>
      <c r="B172" s="6">
        <f>DATE(2012,12,31)-300</f>
        <v>40974</v>
      </c>
      <c r="C172" s="2" t="s">
        <v>913</v>
      </c>
      <c r="D172" s="1">
        <v>21</v>
      </c>
      <c r="E172" s="1">
        <v>1839.4480000000001</v>
      </c>
      <c r="F172" s="1">
        <v>7.0000000000000007E-2</v>
      </c>
      <c r="G172" s="2" t="s">
        <v>560</v>
      </c>
      <c r="H172" s="10">
        <v>-742.88</v>
      </c>
      <c r="I172" s="7">
        <v>111.96</v>
      </c>
      <c r="J172" s="7">
        <v>69</v>
      </c>
      <c r="K172" s="2" t="s">
        <v>786</v>
      </c>
      <c r="L172" s="16" t="s">
        <v>921</v>
      </c>
      <c r="M172" s="16" t="s">
        <v>921</v>
      </c>
      <c r="N172" s="2" t="s">
        <v>567</v>
      </c>
      <c r="O172" s="2" t="s">
        <v>570</v>
      </c>
      <c r="P172" s="2" t="s">
        <v>578</v>
      </c>
      <c r="Q172" s="1" t="s">
        <v>470</v>
      </c>
      <c r="R172" s="2" t="s">
        <v>590</v>
      </c>
      <c r="S172" s="8">
        <f>B172+1</f>
        <v>40975</v>
      </c>
    </row>
    <row r="173" spans="1:19" x14ac:dyDescent="0.15">
      <c r="A173" s="1">
        <v>14048</v>
      </c>
      <c r="B173" s="6">
        <f>DATE(2012,12,31)-959</f>
        <v>40315</v>
      </c>
      <c r="C173" s="2" t="s">
        <v>915</v>
      </c>
      <c r="D173" s="1">
        <v>47</v>
      </c>
      <c r="E173" s="1">
        <v>1837.15</v>
      </c>
      <c r="F173" s="1">
        <v>0.06</v>
      </c>
      <c r="G173" s="2" t="s">
        <v>560</v>
      </c>
      <c r="H173" s="10">
        <v>196.58</v>
      </c>
      <c r="I173" s="7">
        <v>40.97</v>
      </c>
      <c r="J173" s="7">
        <v>8.99</v>
      </c>
      <c r="K173" s="2" t="s">
        <v>862</v>
      </c>
      <c r="L173" s="16" t="s">
        <v>921</v>
      </c>
      <c r="M173" s="16" t="s">
        <v>921</v>
      </c>
      <c r="N173" s="2" t="s">
        <v>565</v>
      </c>
      <c r="O173" s="2" t="s">
        <v>568</v>
      </c>
      <c r="P173" s="2" t="s">
        <v>571</v>
      </c>
      <c r="Q173" s="1" t="s">
        <v>631</v>
      </c>
      <c r="R173" s="2" t="s">
        <v>587</v>
      </c>
      <c r="S173" s="8">
        <f>B173+0</f>
        <v>40315</v>
      </c>
    </row>
    <row r="174" spans="1:19" x14ac:dyDescent="0.15">
      <c r="A174" s="1">
        <v>14048</v>
      </c>
      <c r="B174" s="6">
        <f>DATE(2012,12,31)-959</f>
        <v>40315</v>
      </c>
      <c r="C174" s="2" t="s">
        <v>915</v>
      </c>
      <c r="D174" s="1">
        <v>5</v>
      </c>
      <c r="E174" s="1">
        <v>540.22</v>
      </c>
      <c r="F174" s="1">
        <v>0.06</v>
      </c>
      <c r="G174" s="2" t="s">
        <v>560</v>
      </c>
      <c r="H174" s="10">
        <v>-253.38</v>
      </c>
      <c r="I174" s="7">
        <v>101.41</v>
      </c>
      <c r="J174" s="7">
        <v>35</v>
      </c>
      <c r="K174" s="2" t="s">
        <v>862</v>
      </c>
      <c r="L174" s="16" t="s">
        <v>921</v>
      </c>
      <c r="M174" s="16" t="s">
        <v>921</v>
      </c>
      <c r="N174" s="2" t="s">
        <v>565</v>
      </c>
      <c r="O174" s="2" t="s">
        <v>568</v>
      </c>
      <c r="P174" s="2" t="s">
        <v>577</v>
      </c>
      <c r="Q174" s="1" t="s">
        <v>208</v>
      </c>
      <c r="R174" s="2" t="s">
        <v>590</v>
      </c>
      <c r="S174" s="8">
        <f>B174+2</f>
        <v>40317</v>
      </c>
    </row>
    <row r="175" spans="1:19" x14ac:dyDescent="0.15">
      <c r="A175" s="1">
        <v>14048</v>
      </c>
      <c r="B175" s="6">
        <f>DATE(2012,12,31)-959</f>
        <v>40315</v>
      </c>
      <c r="C175" s="2" t="s">
        <v>915</v>
      </c>
      <c r="D175" s="1">
        <v>40</v>
      </c>
      <c r="E175" s="1">
        <v>2035.3929999999998</v>
      </c>
      <c r="F175" s="1">
        <v>0.01</v>
      </c>
      <c r="G175" s="2" t="s">
        <v>560</v>
      </c>
      <c r="H175" s="10">
        <v>1152.693</v>
      </c>
      <c r="I175" s="7">
        <v>55.99</v>
      </c>
      <c r="J175" s="7">
        <v>1.25</v>
      </c>
      <c r="K175" s="2" t="s">
        <v>862</v>
      </c>
      <c r="L175" s="16" t="s">
        <v>921</v>
      </c>
      <c r="M175" s="16" t="s">
        <v>921</v>
      </c>
      <c r="N175" s="2" t="s">
        <v>565</v>
      </c>
      <c r="O175" s="2" t="s">
        <v>569</v>
      </c>
      <c r="P175" s="2" t="s">
        <v>87</v>
      </c>
      <c r="Q175" s="1" t="s">
        <v>382</v>
      </c>
      <c r="R175" s="2" t="s">
        <v>587</v>
      </c>
      <c r="S175" s="8">
        <f>B175+2</f>
        <v>40317</v>
      </c>
    </row>
    <row r="176" spans="1:19" x14ac:dyDescent="0.15">
      <c r="A176" s="1">
        <v>14311</v>
      </c>
      <c r="B176" s="6">
        <f>DATE(2012,12,31)-1248</f>
        <v>40026</v>
      </c>
      <c r="C176" s="2" t="s">
        <v>917</v>
      </c>
      <c r="D176" s="1">
        <v>30</v>
      </c>
      <c r="E176" s="1">
        <v>192.41</v>
      </c>
      <c r="F176" s="1">
        <v>0.03</v>
      </c>
      <c r="G176" s="2" t="s">
        <v>560</v>
      </c>
      <c r="H176" s="10">
        <v>-55.947499999999998</v>
      </c>
      <c r="I176" s="7">
        <v>6.37</v>
      </c>
      <c r="J176" s="7">
        <v>5.19</v>
      </c>
      <c r="K176" s="2" t="s">
        <v>767</v>
      </c>
      <c r="L176" s="16" t="s">
        <v>921</v>
      </c>
      <c r="M176" s="16" t="s">
        <v>921</v>
      </c>
      <c r="N176" s="2" t="s">
        <v>567</v>
      </c>
      <c r="O176" s="2" t="s">
        <v>568</v>
      </c>
      <c r="P176" s="2" t="s">
        <v>88</v>
      </c>
      <c r="Q176" s="1" t="s">
        <v>555</v>
      </c>
      <c r="R176" s="2" t="s">
        <v>585</v>
      </c>
      <c r="S176" s="8">
        <f>B176+1</f>
        <v>40027</v>
      </c>
    </row>
    <row r="177" spans="1:19" x14ac:dyDescent="0.15">
      <c r="A177" s="1">
        <v>14434</v>
      </c>
      <c r="B177" s="6">
        <f>DATE(2012,12,31)-685</f>
        <v>40589</v>
      </c>
      <c r="C177" s="2" t="s">
        <v>915</v>
      </c>
      <c r="D177" s="1">
        <v>39</v>
      </c>
      <c r="E177" s="1">
        <v>4733.88</v>
      </c>
      <c r="F177" s="1">
        <v>0.02</v>
      </c>
      <c r="G177" s="2" t="s">
        <v>562</v>
      </c>
      <c r="H177" s="10">
        <v>239.41</v>
      </c>
      <c r="I177" s="7">
        <v>119.99</v>
      </c>
      <c r="J177" s="7">
        <v>56.14</v>
      </c>
      <c r="K177" s="2" t="s">
        <v>887</v>
      </c>
      <c r="L177" s="16" t="s">
        <v>921</v>
      </c>
      <c r="M177" s="16" t="s">
        <v>921</v>
      </c>
      <c r="N177" s="2" t="s">
        <v>567</v>
      </c>
      <c r="O177" s="2" t="s">
        <v>569</v>
      </c>
      <c r="P177" s="2" t="s">
        <v>583</v>
      </c>
      <c r="Q177" s="1" t="s">
        <v>503</v>
      </c>
      <c r="R177" s="2" t="s">
        <v>588</v>
      </c>
      <c r="S177" s="8">
        <f>B177+2</f>
        <v>40591</v>
      </c>
    </row>
    <row r="178" spans="1:19" x14ac:dyDescent="0.15">
      <c r="A178" s="1">
        <v>14630</v>
      </c>
      <c r="B178" s="6">
        <f>DATE(2012,12,31)-76</f>
        <v>41198</v>
      </c>
      <c r="C178" s="2" t="s">
        <v>916</v>
      </c>
      <c r="D178" s="1">
        <v>17</v>
      </c>
      <c r="E178" s="1">
        <v>363.54</v>
      </c>
      <c r="F178" s="1">
        <v>0.08</v>
      </c>
      <c r="G178" s="2" t="s">
        <v>560</v>
      </c>
      <c r="H178" s="10">
        <v>4.75</v>
      </c>
      <c r="I178" s="7">
        <v>22.01</v>
      </c>
      <c r="J178" s="7">
        <v>5.53</v>
      </c>
      <c r="K178" s="2" t="s">
        <v>899</v>
      </c>
      <c r="L178" s="16" t="s">
        <v>921</v>
      </c>
      <c r="M178" s="16" t="s">
        <v>921</v>
      </c>
      <c r="N178" s="2" t="s">
        <v>567</v>
      </c>
      <c r="O178" s="2" t="s">
        <v>568</v>
      </c>
      <c r="P178" s="2" t="s">
        <v>571</v>
      </c>
      <c r="Q178" s="1" t="s">
        <v>725</v>
      </c>
      <c r="R178" s="2" t="s">
        <v>587</v>
      </c>
      <c r="S178" s="8">
        <f>B178+0</f>
        <v>41198</v>
      </c>
    </row>
    <row r="179" spans="1:19" x14ac:dyDescent="0.15">
      <c r="A179" s="1">
        <v>14851</v>
      </c>
      <c r="B179" s="6">
        <f>DATE(2012,12,31)-234</f>
        <v>41040</v>
      </c>
      <c r="C179" s="2" t="s">
        <v>915</v>
      </c>
      <c r="D179" s="1">
        <v>6</v>
      </c>
      <c r="E179" s="1">
        <v>3378.18</v>
      </c>
      <c r="F179" s="1">
        <v>0.08</v>
      </c>
      <c r="G179" s="2" t="s">
        <v>560</v>
      </c>
      <c r="H179" s="10">
        <v>-1352.68</v>
      </c>
      <c r="I179" s="7">
        <v>599.99</v>
      </c>
      <c r="J179" s="7">
        <v>24.49</v>
      </c>
      <c r="K179" s="2" t="s">
        <v>806</v>
      </c>
      <c r="L179" s="16" t="s">
        <v>921</v>
      </c>
      <c r="M179" s="16" t="s">
        <v>921</v>
      </c>
      <c r="N179" s="2" t="s">
        <v>567</v>
      </c>
      <c r="O179" s="2" t="s">
        <v>569</v>
      </c>
      <c r="P179" s="2" t="s">
        <v>90</v>
      </c>
      <c r="Q179" s="1" t="s">
        <v>688</v>
      </c>
      <c r="R179" s="2" t="s">
        <v>590</v>
      </c>
      <c r="S179" s="8">
        <f>B179+1</f>
        <v>41041</v>
      </c>
    </row>
    <row r="180" spans="1:19" x14ac:dyDescent="0.15">
      <c r="A180" s="1">
        <v>14851</v>
      </c>
      <c r="B180" s="6">
        <f>DATE(2012,12,31)-234</f>
        <v>41040</v>
      </c>
      <c r="C180" s="2" t="s">
        <v>915</v>
      </c>
      <c r="D180" s="1">
        <v>26</v>
      </c>
      <c r="E180" s="1" t="s">
        <v>923</v>
      </c>
      <c r="F180" s="1">
        <v>0.08</v>
      </c>
      <c r="G180" s="2" t="s">
        <v>560</v>
      </c>
      <c r="H180" s="10">
        <v>156.114</v>
      </c>
      <c r="I180" s="7">
        <v>65.989999999999995</v>
      </c>
      <c r="J180" s="7">
        <v>8.99</v>
      </c>
      <c r="K180" s="2" t="s">
        <v>806</v>
      </c>
      <c r="L180" s="16" t="s">
        <v>921</v>
      </c>
      <c r="M180" s="16" t="s">
        <v>921</v>
      </c>
      <c r="N180" s="2" t="s">
        <v>567</v>
      </c>
      <c r="O180" s="2" t="s">
        <v>569</v>
      </c>
      <c r="P180" s="2" t="s">
        <v>87</v>
      </c>
      <c r="Q180" s="1" t="s">
        <v>69</v>
      </c>
      <c r="R180" s="2" t="s">
        <v>585</v>
      </c>
      <c r="S180" s="8">
        <f>B180+2</f>
        <v>41042</v>
      </c>
    </row>
    <row r="181" spans="1:19" x14ac:dyDescent="0.15">
      <c r="A181" s="1">
        <v>14950</v>
      </c>
      <c r="B181" s="6">
        <f>DATE(2012,12,31)-827</f>
        <v>40447</v>
      </c>
      <c r="C181" s="2" t="s">
        <v>916</v>
      </c>
      <c r="D181" s="1">
        <v>48</v>
      </c>
      <c r="E181" s="1">
        <v>525</v>
      </c>
      <c r="F181" s="1">
        <v>0.03</v>
      </c>
      <c r="G181" s="2" t="s">
        <v>560</v>
      </c>
      <c r="H181" s="10">
        <v>63.5</v>
      </c>
      <c r="I181" s="7">
        <v>10.48</v>
      </c>
      <c r="J181" s="7">
        <v>2.89</v>
      </c>
      <c r="K181" s="2" t="s">
        <v>829</v>
      </c>
      <c r="L181" s="16" t="s">
        <v>921</v>
      </c>
      <c r="M181" s="16" t="s">
        <v>921</v>
      </c>
      <c r="N181" s="2" t="s">
        <v>565</v>
      </c>
      <c r="O181" s="2" t="s">
        <v>568</v>
      </c>
      <c r="P181" s="2" t="s">
        <v>571</v>
      </c>
      <c r="Q181" s="1" t="s">
        <v>723</v>
      </c>
      <c r="R181" s="2" t="s">
        <v>587</v>
      </c>
      <c r="S181" s="8">
        <f>B181+0</f>
        <v>40447</v>
      </c>
    </row>
    <row r="182" spans="1:19" x14ac:dyDescent="0.15">
      <c r="A182" s="1">
        <v>14981</v>
      </c>
      <c r="B182" s="6">
        <f>DATE(2012,12,31)-797</f>
        <v>40477</v>
      </c>
      <c r="C182" s="2" t="s">
        <v>914</v>
      </c>
      <c r="D182" s="1">
        <v>8</v>
      </c>
      <c r="E182" s="1">
        <v>279.77</v>
      </c>
      <c r="F182" s="1">
        <v>7.0000000000000007E-2</v>
      </c>
      <c r="G182" s="2" t="s">
        <v>560</v>
      </c>
      <c r="H182" s="10">
        <v>-14.02</v>
      </c>
      <c r="I182" s="7">
        <v>34.76</v>
      </c>
      <c r="J182" s="7">
        <v>8.2200000000000006</v>
      </c>
      <c r="K182" s="2" t="s">
        <v>807</v>
      </c>
      <c r="L182" s="16" t="s">
        <v>921</v>
      </c>
      <c r="M182" s="16" t="s">
        <v>921</v>
      </c>
      <c r="N182" s="2" t="s">
        <v>564</v>
      </c>
      <c r="O182" s="2" t="s">
        <v>568</v>
      </c>
      <c r="P182" s="2" t="s">
        <v>577</v>
      </c>
      <c r="Q182" s="1" t="s">
        <v>665</v>
      </c>
      <c r="R182" s="2" t="s">
        <v>585</v>
      </c>
      <c r="S182" s="8">
        <f>B182+1</f>
        <v>40478</v>
      </c>
    </row>
    <row r="183" spans="1:19" x14ac:dyDescent="0.15">
      <c r="A183" s="1">
        <v>14981</v>
      </c>
      <c r="B183" s="6">
        <f>DATE(2012,12,31)-797</f>
        <v>40477</v>
      </c>
      <c r="C183" s="2" t="s">
        <v>914</v>
      </c>
      <c r="D183" s="1">
        <v>8</v>
      </c>
      <c r="E183" s="1">
        <v>154.21</v>
      </c>
      <c r="F183" s="1">
        <v>0.03</v>
      </c>
      <c r="G183" s="2" t="s">
        <v>562</v>
      </c>
      <c r="H183" s="10">
        <v>-160.38999999999999</v>
      </c>
      <c r="I183" s="7">
        <v>15.23</v>
      </c>
      <c r="J183" s="7">
        <v>27.75</v>
      </c>
      <c r="K183" s="2" t="s">
        <v>807</v>
      </c>
      <c r="L183" s="16" t="s">
        <v>921</v>
      </c>
      <c r="M183" s="16" t="s">
        <v>921</v>
      </c>
      <c r="N183" s="2" t="s">
        <v>564</v>
      </c>
      <c r="O183" s="2" t="s">
        <v>570</v>
      </c>
      <c r="P183" s="2" t="s">
        <v>578</v>
      </c>
      <c r="Q183" s="1" t="s">
        <v>251</v>
      </c>
      <c r="R183" s="2" t="s">
        <v>588</v>
      </c>
      <c r="S183" s="8">
        <f>B183+2</f>
        <v>40479</v>
      </c>
    </row>
    <row r="184" spans="1:19" x14ac:dyDescent="0.15">
      <c r="A184" s="1">
        <v>15105</v>
      </c>
      <c r="B184" s="6">
        <f>DATE(2012,12,31)-1154</f>
        <v>40120</v>
      </c>
      <c r="C184" s="2" t="s">
        <v>916</v>
      </c>
      <c r="D184" s="1">
        <v>39</v>
      </c>
      <c r="E184" s="1">
        <v>460.43</v>
      </c>
      <c r="F184" s="1">
        <v>7.0000000000000007E-2</v>
      </c>
      <c r="G184" s="2" t="s">
        <v>560</v>
      </c>
      <c r="H184" s="10">
        <v>-76.180000000000007</v>
      </c>
      <c r="I184" s="7">
        <v>12.28</v>
      </c>
      <c r="J184" s="7">
        <v>6.13</v>
      </c>
      <c r="K184" s="2" t="s">
        <v>829</v>
      </c>
      <c r="L184" s="16" t="s">
        <v>921</v>
      </c>
      <c r="M184" s="16" t="s">
        <v>921</v>
      </c>
      <c r="N184" s="2" t="s">
        <v>565</v>
      </c>
      <c r="O184" s="2" t="s">
        <v>568</v>
      </c>
      <c r="P184" s="2" t="s">
        <v>577</v>
      </c>
      <c r="Q184" s="1" t="s">
        <v>546</v>
      </c>
      <c r="R184" s="2" t="s">
        <v>585</v>
      </c>
      <c r="S184" s="8">
        <f>B184+7</f>
        <v>40127</v>
      </c>
    </row>
    <row r="185" spans="1:19" x14ac:dyDescent="0.15">
      <c r="A185" s="1">
        <v>15111</v>
      </c>
      <c r="B185" s="6">
        <f>DATE(2012,12,31)-1110</f>
        <v>40164</v>
      </c>
      <c r="C185" s="2" t="s">
        <v>915</v>
      </c>
      <c r="D185" s="1">
        <v>13</v>
      </c>
      <c r="E185" s="1">
        <v>970.47</v>
      </c>
      <c r="F185" s="1">
        <v>0.1</v>
      </c>
      <c r="G185" s="2" t="s">
        <v>560</v>
      </c>
      <c r="H185" s="10">
        <v>192.38</v>
      </c>
      <c r="I185" s="7">
        <v>81.319999999999993</v>
      </c>
      <c r="J185" s="7">
        <v>0.99</v>
      </c>
      <c r="K185" s="2" t="s">
        <v>806</v>
      </c>
      <c r="L185" s="16" t="s">
        <v>921</v>
      </c>
      <c r="M185" s="16" t="s">
        <v>921</v>
      </c>
      <c r="N185" s="2" t="s">
        <v>567</v>
      </c>
      <c r="O185" s="2" t="s">
        <v>568</v>
      </c>
      <c r="P185" s="2" t="s">
        <v>576</v>
      </c>
      <c r="Q185" s="1" t="s">
        <v>244</v>
      </c>
      <c r="R185" s="2" t="s">
        <v>585</v>
      </c>
      <c r="S185" s="8">
        <f>B185+2</f>
        <v>40166</v>
      </c>
    </row>
    <row r="186" spans="1:19" x14ac:dyDescent="0.15">
      <c r="A186" s="1">
        <v>15202</v>
      </c>
      <c r="B186" s="6">
        <f>DATE(2012,12,31)-906</f>
        <v>40368</v>
      </c>
      <c r="C186" s="2" t="s">
        <v>913</v>
      </c>
      <c r="D186" s="1">
        <v>36</v>
      </c>
      <c r="E186" s="1">
        <v>1340.93</v>
      </c>
      <c r="F186" s="1">
        <v>0.09</v>
      </c>
      <c r="G186" s="2" t="s">
        <v>561</v>
      </c>
      <c r="H186" s="10">
        <v>154.16</v>
      </c>
      <c r="I186" s="7">
        <v>39.979999999999997</v>
      </c>
      <c r="J186" s="7">
        <v>9.1999999999999993</v>
      </c>
      <c r="K186" s="2" t="s">
        <v>875</v>
      </c>
      <c r="L186" s="16" t="s">
        <v>921</v>
      </c>
      <c r="M186" s="16" t="s">
        <v>921</v>
      </c>
      <c r="N186" s="2" t="s">
        <v>566</v>
      </c>
      <c r="O186" s="2" t="s">
        <v>570</v>
      </c>
      <c r="P186" s="2" t="s">
        <v>579</v>
      </c>
      <c r="Q186" s="1" t="s">
        <v>15</v>
      </c>
      <c r="R186" s="2" t="s">
        <v>584</v>
      </c>
      <c r="S186" s="8">
        <f>B186+2</f>
        <v>40370</v>
      </c>
    </row>
    <row r="187" spans="1:19" x14ac:dyDescent="0.15">
      <c r="A187" s="1">
        <v>15206</v>
      </c>
      <c r="B187" s="6">
        <f>DATE(2012,12,31)-788</f>
        <v>40486</v>
      </c>
      <c r="C187" s="2" t="s">
        <v>916</v>
      </c>
      <c r="D187" s="1">
        <v>35</v>
      </c>
      <c r="E187" s="1">
        <v>5287.16</v>
      </c>
      <c r="F187" s="1">
        <v>0.05</v>
      </c>
      <c r="G187" s="2" t="s">
        <v>562</v>
      </c>
      <c r="H187" s="10">
        <v>-769.05</v>
      </c>
      <c r="I187" s="7">
        <v>150.97999999999999</v>
      </c>
      <c r="J187" s="7">
        <v>66.27</v>
      </c>
      <c r="K187" s="2" t="s">
        <v>856</v>
      </c>
      <c r="L187" s="16" t="s">
        <v>921</v>
      </c>
      <c r="M187" s="16" t="s">
        <v>921</v>
      </c>
      <c r="N187" s="2" t="s">
        <v>565</v>
      </c>
      <c r="O187" s="2" t="s">
        <v>570</v>
      </c>
      <c r="P187" s="2" t="s">
        <v>581</v>
      </c>
      <c r="Q187" s="1" t="s">
        <v>501</v>
      </c>
      <c r="R187" s="2" t="s">
        <v>588</v>
      </c>
      <c r="S187" s="8">
        <f>B187+5</f>
        <v>40491</v>
      </c>
    </row>
    <row r="188" spans="1:19" x14ac:dyDescent="0.15">
      <c r="A188" s="1">
        <v>15616</v>
      </c>
      <c r="B188" s="6">
        <f>DATE(2012,12,31)-283</f>
        <v>40991</v>
      </c>
      <c r="C188" s="2" t="s">
        <v>917</v>
      </c>
      <c r="D188" s="1">
        <v>12</v>
      </c>
      <c r="E188" s="1">
        <v>386.71</v>
      </c>
      <c r="F188" s="1">
        <v>0.01</v>
      </c>
      <c r="G188" s="2" t="s">
        <v>561</v>
      </c>
      <c r="H188" s="10">
        <v>-84.12</v>
      </c>
      <c r="I188" s="7">
        <v>30.98</v>
      </c>
      <c r="J188" s="7">
        <v>6.5</v>
      </c>
      <c r="K188" s="2" t="s">
        <v>877</v>
      </c>
      <c r="L188" s="16" t="s">
        <v>921</v>
      </c>
      <c r="M188" s="16" t="s">
        <v>921</v>
      </c>
      <c r="N188" s="2" t="s">
        <v>567</v>
      </c>
      <c r="O188" s="2" t="s">
        <v>569</v>
      </c>
      <c r="P188" s="2" t="s">
        <v>572</v>
      </c>
      <c r="Q188" s="1" t="s">
        <v>538</v>
      </c>
      <c r="R188" s="2" t="s">
        <v>585</v>
      </c>
      <c r="S188" s="8">
        <f>B188+1</f>
        <v>40992</v>
      </c>
    </row>
    <row r="189" spans="1:19" x14ac:dyDescent="0.15">
      <c r="A189" s="1">
        <v>15616</v>
      </c>
      <c r="B189" s="6">
        <f>DATE(2012,12,31)-283</f>
        <v>40991</v>
      </c>
      <c r="C189" s="2" t="s">
        <v>917</v>
      </c>
      <c r="D189" s="1">
        <v>34</v>
      </c>
      <c r="E189" s="1">
        <v>134.06</v>
      </c>
      <c r="F189" s="1">
        <v>0.09</v>
      </c>
      <c r="G189" s="2" t="s">
        <v>560</v>
      </c>
      <c r="H189" s="10">
        <v>5.98</v>
      </c>
      <c r="I189" s="7">
        <v>4.13</v>
      </c>
      <c r="J189" s="7">
        <v>1.17</v>
      </c>
      <c r="K189" s="2" t="s">
        <v>877</v>
      </c>
      <c r="L189" s="16" t="s">
        <v>921</v>
      </c>
      <c r="M189" s="16" t="s">
        <v>921</v>
      </c>
      <c r="N189" s="2" t="s">
        <v>567</v>
      </c>
      <c r="O189" s="2" t="s">
        <v>568</v>
      </c>
      <c r="P189" s="2" t="s">
        <v>571</v>
      </c>
      <c r="Q189" s="1" t="s">
        <v>65</v>
      </c>
      <c r="R189" s="2" t="s">
        <v>584</v>
      </c>
      <c r="S189" s="8">
        <f>B189+2</f>
        <v>40993</v>
      </c>
    </row>
    <row r="190" spans="1:19" x14ac:dyDescent="0.15">
      <c r="A190" s="1">
        <v>15654</v>
      </c>
      <c r="B190" s="6">
        <f>DATE(2012,12,31)-1186</f>
        <v>40088</v>
      </c>
      <c r="C190" s="2" t="s">
        <v>915</v>
      </c>
      <c r="D190" s="1">
        <v>27</v>
      </c>
      <c r="E190" s="1">
        <v>7937.59</v>
      </c>
      <c r="F190" s="1">
        <v>0.03</v>
      </c>
      <c r="G190" s="2" t="s">
        <v>562</v>
      </c>
      <c r="H190" s="10">
        <v>1383.24</v>
      </c>
      <c r="I190" s="7">
        <v>300.98</v>
      </c>
      <c r="J190" s="7">
        <v>54.92</v>
      </c>
      <c r="K190" s="2" t="s">
        <v>817</v>
      </c>
      <c r="L190" s="16" t="s">
        <v>921</v>
      </c>
      <c r="M190" s="16" t="s">
        <v>921</v>
      </c>
      <c r="N190" s="2" t="s">
        <v>567</v>
      </c>
      <c r="O190" s="2" t="s">
        <v>570</v>
      </c>
      <c r="P190" s="2" t="s">
        <v>581</v>
      </c>
      <c r="Q190" s="1" t="s">
        <v>114</v>
      </c>
      <c r="R190" s="2" t="s">
        <v>588</v>
      </c>
      <c r="S190" s="8">
        <f>B190+2</f>
        <v>40090</v>
      </c>
    </row>
    <row r="191" spans="1:19" x14ac:dyDescent="0.15">
      <c r="A191" s="1">
        <v>15654</v>
      </c>
      <c r="B191" s="6">
        <f>DATE(2012,12,31)-1186</f>
        <v>40088</v>
      </c>
      <c r="C191" s="2" t="s">
        <v>915</v>
      </c>
      <c r="D191" s="1">
        <v>4</v>
      </c>
      <c r="E191" s="1">
        <v>9396.41</v>
      </c>
      <c r="F191" s="1">
        <v>0.02</v>
      </c>
      <c r="G191" s="2" t="s">
        <v>562</v>
      </c>
      <c r="H191" s="10">
        <v>-4991.4249</v>
      </c>
      <c r="I191" s="7">
        <v>2550.14</v>
      </c>
      <c r="J191" s="7">
        <v>29.7</v>
      </c>
      <c r="K191" s="2" t="s">
        <v>817</v>
      </c>
      <c r="L191" s="16" t="s">
        <v>921</v>
      </c>
      <c r="M191" s="16" t="s">
        <v>921</v>
      </c>
      <c r="N191" s="2" t="s">
        <v>567</v>
      </c>
      <c r="O191" s="2" t="s">
        <v>569</v>
      </c>
      <c r="P191" s="2" t="s">
        <v>583</v>
      </c>
      <c r="Q191" s="1" t="s">
        <v>487</v>
      </c>
      <c r="R191" s="2" t="s">
        <v>586</v>
      </c>
      <c r="S191" s="8">
        <f>B191+2</f>
        <v>40090</v>
      </c>
    </row>
    <row r="192" spans="1:19" x14ac:dyDescent="0.15">
      <c r="A192" s="1">
        <v>16102</v>
      </c>
      <c r="B192" s="6">
        <f>DATE(2012,12,31)-1114</f>
        <v>40160</v>
      </c>
      <c r="C192" s="2" t="s">
        <v>915</v>
      </c>
      <c r="D192" s="1">
        <v>25</v>
      </c>
      <c r="E192" s="1">
        <v>13255.93</v>
      </c>
      <c r="F192" s="1">
        <v>0.02</v>
      </c>
      <c r="G192" s="2" t="s">
        <v>562</v>
      </c>
      <c r="H192" s="10">
        <v>4089.27</v>
      </c>
      <c r="I192" s="7">
        <v>500.98</v>
      </c>
      <c r="J192" s="7">
        <v>26</v>
      </c>
      <c r="K192" s="2" t="s">
        <v>860</v>
      </c>
      <c r="L192" s="16" t="s">
        <v>921</v>
      </c>
      <c r="M192" s="16" t="s">
        <v>921</v>
      </c>
      <c r="N192" s="2" t="s">
        <v>564</v>
      </c>
      <c r="O192" s="2" t="s">
        <v>570</v>
      </c>
      <c r="P192" s="2" t="s">
        <v>574</v>
      </c>
      <c r="Q192" s="1" t="s">
        <v>731</v>
      </c>
      <c r="R192" s="2" t="s">
        <v>586</v>
      </c>
      <c r="S192" s="8">
        <f>B192+2</f>
        <v>40162</v>
      </c>
    </row>
    <row r="193" spans="1:19" x14ac:dyDescent="0.15">
      <c r="A193" s="1">
        <v>16229</v>
      </c>
      <c r="B193" s="6">
        <f>DATE(2012,12,31)-1373</f>
        <v>39901</v>
      </c>
      <c r="C193" s="2" t="s">
        <v>913</v>
      </c>
      <c r="D193" s="1">
        <v>27</v>
      </c>
      <c r="E193" s="1">
        <v>1068.7</v>
      </c>
      <c r="F193" s="1">
        <v>0.04</v>
      </c>
      <c r="G193" s="2" t="s">
        <v>560</v>
      </c>
      <c r="H193" s="10">
        <v>-89.5</v>
      </c>
      <c r="I193" s="7">
        <v>40.98</v>
      </c>
      <c r="J193" s="7">
        <v>6.5</v>
      </c>
      <c r="K193" s="2" t="s">
        <v>862</v>
      </c>
      <c r="L193" s="16" t="s">
        <v>921</v>
      </c>
      <c r="M193" s="16" t="s">
        <v>921</v>
      </c>
      <c r="N193" s="2" t="s">
        <v>565</v>
      </c>
      <c r="O193" s="2" t="s">
        <v>569</v>
      </c>
      <c r="P193" s="2" t="s">
        <v>572</v>
      </c>
      <c r="Q193" s="1" t="s">
        <v>547</v>
      </c>
      <c r="R193" s="2" t="s">
        <v>585</v>
      </c>
      <c r="S193" s="8">
        <f>B193+1</f>
        <v>39902</v>
      </c>
    </row>
    <row r="194" spans="1:19" x14ac:dyDescent="0.15">
      <c r="A194" s="1">
        <v>16356</v>
      </c>
      <c r="B194" s="6">
        <f>DATE(2012,12,31)-517</f>
        <v>40757</v>
      </c>
      <c r="C194" s="2" t="s">
        <v>917</v>
      </c>
      <c r="D194" s="1">
        <v>6</v>
      </c>
      <c r="E194" s="1">
        <v>157.94</v>
      </c>
      <c r="F194" s="1">
        <v>0.04</v>
      </c>
      <c r="G194" s="2" t="s">
        <v>561</v>
      </c>
      <c r="H194" s="10">
        <v>9.15</v>
      </c>
      <c r="I194" s="7">
        <v>22.98</v>
      </c>
      <c r="J194" s="7">
        <v>4.5</v>
      </c>
      <c r="K194" s="2" t="s">
        <v>848</v>
      </c>
      <c r="L194" s="16" t="s">
        <v>921</v>
      </c>
      <c r="M194" s="16" t="s">
        <v>921</v>
      </c>
      <c r="N194" s="2" t="s">
        <v>567</v>
      </c>
      <c r="O194" s="2" t="s">
        <v>568</v>
      </c>
      <c r="P194" s="2" t="s">
        <v>576</v>
      </c>
      <c r="Q194" s="1" t="s">
        <v>357</v>
      </c>
      <c r="R194" s="2" t="s">
        <v>585</v>
      </c>
      <c r="S194" s="8">
        <f>B194+1</f>
        <v>40758</v>
      </c>
    </row>
    <row r="195" spans="1:19" x14ac:dyDescent="0.15">
      <c r="A195" s="1">
        <v>16481</v>
      </c>
      <c r="B195" s="6">
        <f>DATE(2012,12,31)-682</f>
        <v>40592</v>
      </c>
      <c r="C195" s="2" t="s">
        <v>916</v>
      </c>
      <c r="D195" s="1">
        <v>50</v>
      </c>
      <c r="E195" s="1">
        <v>3089.06</v>
      </c>
      <c r="F195" s="1">
        <v>0</v>
      </c>
      <c r="G195" s="2" t="s">
        <v>560</v>
      </c>
      <c r="H195" s="10">
        <v>719.26</v>
      </c>
      <c r="I195" s="7">
        <v>56.96</v>
      </c>
      <c r="J195" s="7">
        <v>13.22</v>
      </c>
      <c r="K195" s="2" t="s">
        <v>814</v>
      </c>
      <c r="L195" s="16" t="s">
        <v>921</v>
      </c>
      <c r="M195" s="16" t="s">
        <v>921</v>
      </c>
      <c r="N195" s="2" t="s">
        <v>567</v>
      </c>
      <c r="O195" s="2" t="s">
        <v>568</v>
      </c>
      <c r="P195" s="2" t="s">
        <v>576</v>
      </c>
      <c r="Q195" s="1" t="s">
        <v>621</v>
      </c>
      <c r="R195" s="2" t="s">
        <v>585</v>
      </c>
      <c r="S195" s="8">
        <f>B195+5</f>
        <v>40597</v>
      </c>
    </row>
    <row r="196" spans="1:19" x14ac:dyDescent="0.15">
      <c r="A196" s="1">
        <v>16481</v>
      </c>
      <c r="B196" s="6">
        <f>DATE(2012,12,31)-682</f>
        <v>40592</v>
      </c>
      <c r="C196" s="2" t="s">
        <v>916</v>
      </c>
      <c r="D196" s="1">
        <v>47</v>
      </c>
      <c r="E196" s="1">
        <v>20265.22</v>
      </c>
      <c r="F196" s="1">
        <v>0.08</v>
      </c>
      <c r="G196" s="2" t="s">
        <v>562</v>
      </c>
      <c r="H196" s="10">
        <v>6168.64</v>
      </c>
      <c r="I196" s="7">
        <v>442.14</v>
      </c>
      <c r="J196" s="7">
        <v>14.7</v>
      </c>
      <c r="K196" s="2" t="s">
        <v>814</v>
      </c>
      <c r="L196" s="16" t="s">
        <v>921</v>
      </c>
      <c r="M196" s="16" t="s">
        <v>921</v>
      </c>
      <c r="N196" s="2" t="s">
        <v>567</v>
      </c>
      <c r="O196" s="2" t="s">
        <v>569</v>
      </c>
      <c r="P196" s="2" t="s">
        <v>583</v>
      </c>
      <c r="Q196" s="1" t="s">
        <v>378</v>
      </c>
      <c r="R196" s="2" t="s">
        <v>586</v>
      </c>
      <c r="S196" s="8">
        <f>B196+5</f>
        <v>40597</v>
      </c>
    </row>
    <row r="197" spans="1:19" x14ac:dyDescent="0.15">
      <c r="A197" s="1">
        <v>16641</v>
      </c>
      <c r="B197" s="6">
        <f>DATE(2012,12,31)-966</f>
        <v>40308</v>
      </c>
      <c r="C197" s="2" t="s">
        <v>913</v>
      </c>
      <c r="D197" s="1">
        <v>33</v>
      </c>
      <c r="E197" s="1">
        <v>1209.1680000000001</v>
      </c>
      <c r="F197" s="1">
        <v>0.03</v>
      </c>
      <c r="G197" s="2" t="s">
        <v>562</v>
      </c>
      <c r="H197" s="10">
        <v>-1052.79</v>
      </c>
      <c r="I197" s="7">
        <v>44.43</v>
      </c>
      <c r="J197" s="7">
        <v>46.59</v>
      </c>
      <c r="K197" s="2" t="s">
        <v>802</v>
      </c>
      <c r="L197" s="16" t="s">
        <v>921</v>
      </c>
      <c r="M197" s="16" t="s">
        <v>921</v>
      </c>
      <c r="N197" s="2" t="s">
        <v>564</v>
      </c>
      <c r="O197" s="2" t="s">
        <v>570</v>
      </c>
      <c r="P197" s="2" t="s">
        <v>578</v>
      </c>
      <c r="Q197" s="1" t="s">
        <v>540</v>
      </c>
      <c r="R197" s="2" t="s">
        <v>588</v>
      </c>
      <c r="S197" s="8">
        <f>B197+1</f>
        <v>40309</v>
      </c>
    </row>
    <row r="198" spans="1:19" x14ac:dyDescent="0.15">
      <c r="A198" s="1">
        <v>16642</v>
      </c>
      <c r="B198" s="6">
        <f>DATE(2012,12,31)-670</f>
        <v>40604</v>
      </c>
      <c r="C198" s="2" t="s">
        <v>915</v>
      </c>
      <c r="D198" s="1">
        <v>46</v>
      </c>
      <c r="E198" s="1">
        <v>7640.2249999999995</v>
      </c>
      <c r="F198" s="1">
        <v>7.0000000000000007E-2</v>
      </c>
      <c r="G198" s="2" t="s">
        <v>560</v>
      </c>
      <c r="H198" s="10">
        <v>2027.682</v>
      </c>
      <c r="I198" s="7">
        <v>205.99</v>
      </c>
      <c r="J198" s="7">
        <v>2.5</v>
      </c>
      <c r="K198" s="2" t="s">
        <v>868</v>
      </c>
      <c r="L198" s="16" t="s">
        <v>921</v>
      </c>
      <c r="M198" s="16" t="s">
        <v>921</v>
      </c>
      <c r="N198" s="2" t="s">
        <v>567</v>
      </c>
      <c r="O198" s="2" t="s">
        <v>569</v>
      </c>
      <c r="P198" s="2" t="s">
        <v>87</v>
      </c>
      <c r="Q198" s="1" t="s">
        <v>529</v>
      </c>
      <c r="R198" s="2" t="s">
        <v>585</v>
      </c>
      <c r="S198" s="8">
        <f>B198+2</f>
        <v>40606</v>
      </c>
    </row>
    <row r="199" spans="1:19" x14ac:dyDescent="0.15">
      <c r="A199" s="1">
        <v>16709</v>
      </c>
      <c r="B199" s="6">
        <f>DATE(2012,12,31)-86</f>
        <v>41188</v>
      </c>
      <c r="C199" s="2" t="s">
        <v>913</v>
      </c>
      <c r="D199" s="1">
        <v>3</v>
      </c>
      <c r="E199" s="1">
        <v>24.36</v>
      </c>
      <c r="F199" s="1">
        <v>7.0000000000000007E-2</v>
      </c>
      <c r="G199" s="2" t="s">
        <v>560</v>
      </c>
      <c r="H199" s="10">
        <v>-13.01</v>
      </c>
      <c r="I199" s="7">
        <v>6.48</v>
      </c>
      <c r="J199" s="7">
        <v>5.74</v>
      </c>
      <c r="K199" s="2" t="s">
        <v>829</v>
      </c>
      <c r="L199" s="16" t="s">
        <v>921</v>
      </c>
      <c r="M199" s="16" t="s">
        <v>921</v>
      </c>
      <c r="N199" s="2" t="s">
        <v>565</v>
      </c>
      <c r="O199" s="2" t="s">
        <v>568</v>
      </c>
      <c r="P199" s="2" t="s">
        <v>573</v>
      </c>
      <c r="Q199" s="1" t="s">
        <v>225</v>
      </c>
      <c r="R199" s="2" t="s">
        <v>585</v>
      </c>
      <c r="S199" s="8">
        <f>B199+2</f>
        <v>41190</v>
      </c>
    </row>
    <row r="200" spans="1:19" x14ac:dyDescent="0.15">
      <c r="A200" s="1">
        <v>16992</v>
      </c>
      <c r="B200" s="6">
        <f>DATE(2012,12,31)-750</f>
        <v>40524</v>
      </c>
      <c r="C200" s="2" t="s">
        <v>913</v>
      </c>
      <c r="D200" s="1">
        <v>15</v>
      </c>
      <c r="E200" s="1">
        <v>126.74</v>
      </c>
      <c r="F200" s="1">
        <v>0.08</v>
      </c>
      <c r="G200" s="2" t="s">
        <v>560</v>
      </c>
      <c r="H200" s="10">
        <v>-18.53</v>
      </c>
      <c r="I200" s="7">
        <v>8.67</v>
      </c>
      <c r="J200" s="7">
        <v>3.5</v>
      </c>
      <c r="K200" s="2" t="s">
        <v>891</v>
      </c>
      <c r="L200" s="16" t="s">
        <v>921</v>
      </c>
      <c r="M200" s="16" t="s">
        <v>921</v>
      </c>
      <c r="N200" s="2" t="s">
        <v>565</v>
      </c>
      <c r="O200" s="2" t="s">
        <v>568</v>
      </c>
      <c r="P200" s="2" t="s">
        <v>576</v>
      </c>
      <c r="Q200" s="1" t="s">
        <v>218</v>
      </c>
      <c r="R200" s="2" t="s">
        <v>585</v>
      </c>
      <c r="S200" s="8">
        <f>B200+1</f>
        <v>40525</v>
      </c>
    </row>
    <row r="201" spans="1:19" x14ac:dyDescent="0.15">
      <c r="A201" s="1">
        <v>16995</v>
      </c>
      <c r="B201" s="6">
        <f>DATE(2012,12,31)-744</f>
        <v>40530</v>
      </c>
      <c r="C201" s="2" t="s">
        <v>915</v>
      </c>
      <c r="D201" s="1">
        <v>42</v>
      </c>
      <c r="E201" s="1">
        <v>48.41</v>
      </c>
      <c r="F201" s="1">
        <v>0.06</v>
      </c>
      <c r="G201" s="2" t="s">
        <v>560</v>
      </c>
      <c r="H201" s="10">
        <v>-1.46</v>
      </c>
      <c r="I201" s="7">
        <v>1.1399999999999999</v>
      </c>
      <c r="J201" s="7">
        <v>0.7</v>
      </c>
      <c r="K201" s="2" t="s">
        <v>875</v>
      </c>
      <c r="L201" s="16" t="s">
        <v>921</v>
      </c>
      <c r="M201" s="16" t="s">
        <v>921</v>
      </c>
      <c r="N201" s="2" t="s">
        <v>566</v>
      </c>
      <c r="O201" s="2" t="s">
        <v>568</v>
      </c>
      <c r="P201" s="2" t="s">
        <v>580</v>
      </c>
      <c r="Q201" s="1" t="s">
        <v>710</v>
      </c>
      <c r="R201" s="2" t="s">
        <v>584</v>
      </c>
      <c r="S201" s="8">
        <f>B201+2</f>
        <v>40532</v>
      </c>
    </row>
    <row r="202" spans="1:19" x14ac:dyDescent="0.15">
      <c r="A202" s="1">
        <v>17093</v>
      </c>
      <c r="B202" s="6">
        <f>DATE(2012,12,31)-324</f>
        <v>40950</v>
      </c>
      <c r="C202" s="2" t="s">
        <v>915</v>
      </c>
      <c r="D202" s="1">
        <v>50</v>
      </c>
      <c r="E202" s="1">
        <v>4550.0600000000004</v>
      </c>
      <c r="F202" s="1">
        <v>0.1</v>
      </c>
      <c r="G202" s="2" t="s">
        <v>562</v>
      </c>
      <c r="H202" s="10">
        <v>-1335.32</v>
      </c>
      <c r="I202" s="7">
        <v>95.98</v>
      </c>
      <c r="J202" s="7">
        <v>58.2</v>
      </c>
      <c r="K202" s="2" t="s">
        <v>864</v>
      </c>
      <c r="L202" s="16" t="s">
        <v>921</v>
      </c>
      <c r="M202" s="16" t="s">
        <v>921</v>
      </c>
      <c r="N202" s="2" t="s">
        <v>567</v>
      </c>
      <c r="O202" s="2" t="s">
        <v>570</v>
      </c>
      <c r="P202" s="2" t="s">
        <v>574</v>
      </c>
      <c r="Q202" s="1" t="s">
        <v>425</v>
      </c>
      <c r="R202" s="2" t="s">
        <v>586</v>
      </c>
      <c r="S202" s="8">
        <f>B202+2</f>
        <v>40952</v>
      </c>
    </row>
    <row r="203" spans="1:19" x14ac:dyDescent="0.15">
      <c r="A203" s="1">
        <v>17510</v>
      </c>
      <c r="B203" s="6">
        <f>DATE(2012,12,31)-62</f>
        <v>41212</v>
      </c>
      <c r="C203" s="2" t="s">
        <v>917</v>
      </c>
      <c r="D203" s="1">
        <v>28</v>
      </c>
      <c r="E203" s="1">
        <v>462.12</v>
      </c>
      <c r="F203" s="1">
        <v>0</v>
      </c>
      <c r="G203" s="2" t="s">
        <v>560</v>
      </c>
      <c r="H203" s="10">
        <v>226.4</v>
      </c>
      <c r="I203" s="7">
        <v>15.57</v>
      </c>
      <c r="J203" s="7">
        <v>1.39</v>
      </c>
      <c r="K203" s="2" t="s">
        <v>808</v>
      </c>
      <c r="L203" s="16" t="s">
        <v>921</v>
      </c>
      <c r="M203" s="16" t="s">
        <v>921</v>
      </c>
      <c r="N203" s="2" t="s">
        <v>565</v>
      </c>
      <c r="O203" s="2" t="s">
        <v>568</v>
      </c>
      <c r="P203" s="2" t="s">
        <v>575</v>
      </c>
      <c r="Q203" s="1" t="s">
        <v>642</v>
      </c>
      <c r="R203" s="2" t="s">
        <v>585</v>
      </c>
      <c r="S203" s="8">
        <f>B203+1</f>
        <v>41213</v>
      </c>
    </row>
    <row r="204" spans="1:19" x14ac:dyDescent="0.15">
      <c r="A204" s="1">
        <v>17542</v>
      </c>
      <c r="B204" s="6">
        <f>DATE(2012,12,31)-853</f>
        <v>40421</v>
      </c>
      <c r="C204" s="2" t="s">
        <v>916</v>
      </c>
      <c r="D204" s="1">
        <v>37</v>
      </c>
      <c r="E204" s="1">
        <v>105.99</v>
      </c>
      <c r="F204" s="1">
        <v>0.01</v>
      </c>
      <c r="G204" s="2" t="s">
        <v>560</v>
      </c>
      <c r="H204" s="10">
        <v>43.37</v>
      </c>
      <c r="I204" s="7">
        <v>2.88</v>
      </c>
      <c r="J204" s="7">
        <v>0.5</v>
      </c>
      <c r="K204" s="2" t="s">
        <v>776</v>
      </c>
      <c r="L204" s="16" t="s">
        <v>921</v>
      </c>
      <c r="M204" s="16" t="s">
        <v>921</v>
      </c>
      <c r="N204" s="2" t="s">
        <v>566</v>
      </c>
      <c r="O204" s="2" t="s">
        <v>568</v>
      </c>
      <c r="P204" s="2" t="s">
        <v>582</v>
      </c>
      <c r="Q204" s="1" t="s">
        <v>715</v>
      </c>
      <c r="R204" s="2" t="s">
        <v>585</v>
      </c>
      <c r="S204" s="8">
        <f>B204+2</f>
        <v>40423</v>
      </c>
    </row>
    <row r="205" spans="1:19" x14ac:dyDescent="0.15">
      <c r="A205" s="1">
        <v>17568</v>
      </c>
      <c r="B205" s="6">
        <f>DATE(2012,12,31)-815</f>
        <v>40459</v>
      </c>
      <c r="C205" s="2" t="s">
        <v>915</v>
      </c>
      <c r="D205" s="1">
        <v>31</v>
      </c>
      <c r="E205" s="1">
        <v>512.87</v>
      </c>
      <c r="F205" s="1">
        <v>0</v>
      </c>
      <c r="G205" s="2" t="s">
        <v>560</v>
      </c>
      <c r="H205" s="10">
        <v>170.69</v>
      </c>
      <c r="I205" s="7">
        <v>16.48</v>
      </c>
      <c r="J205" s="7">
        <v>1.99</v>
      </c>
      <c r="K205" s="2" t="s">
        <v>838</v>
      </c>
      <c r="L205" s="16" t="s">
        <v>921</v>
      </c>
      <c r="M205" s="16" t="s">
        <v>921</v>
      </c>
      <c r="N205" s="2" t="s">
        <v>564</v>
      </c>
      <c r="O205" s="2" t="s">
        <v>569</v>
      </c>
      <c r="P205" s="2" t="s">
        <v>572</v>
      </c>
      <c r="Q205" s="1" t="s">
        <v>76</v>
      </c>
      <c r="R205" s="2" t="s">
        <v>587</v>
      </c>
      <c r="S205" s="8">
        <f>B205+1</f>
        <v>40460</v>
      </c>
    </row>
    <row r="206" spans="1:19" x14ac:dyDescent="0.15">
      <c r="A206" s="1">
        <v>17571</v>
      </c>
      <c r="B206" s="6">
        <f>DATE(2012,12,31)-291</f>
        <v>40983</v>
      </c>
      <c r="C206" s="2" t="s">
        <v>915</v>
      </c>
      <c r="D206" s="1">
        <v>32</v>
      </c>
      <c r="E206" s="1">
        <v>102.59</v>
      </c>
      <c r="F206" s="1">
        <v>0.01</v>
      </c>
      <c r="G206" s="2" t="s">
        <v>560</v>
      </c>
      <c r="H206" s="10">
        <v>8.8800000000000008</v>
      </c>
      <c r="I206" s="7">
        <v>2.98</v>
      </c>
      <c r="J206" s="7">
        <v>1.58</v>
      </c>
      <c r="K206" s="2" t="s">
        <v>869</v>
      </c>
      <c r="L206" s="16" t="s">
        <v>921</v>
      </c>
      <c r="M206" s="16" t="s">
        <v>921</v>
      </c>
      <c r="N206" s="2" t="s">
        <v>566</v>
      </c>
      <c r="O206" s="2" t="s">
        <v>568</v>
      </c>
      <c r="P206" s="2" t="s">
        <v>580</v>
      </c>
      <c r="Q206" s="1" t="s">
        <v>628</v>
      </c>
      <c r="R206" s="2" t="s">
        <v>584</v>
      </c>
      <c r="S206" s="8">
        <f>B206+1</f>
        <v>40984</v>
      </c>
    </row>
    <row r="207" spans="1:19" x14ac:dyDescent="0.15">
      <c r="A207" s="1">
        <v>17571</v>
      </c>
      <c r="B207" s="6">
        <f>DATE(2012,12,31)-291</f>
        <v>40983</v>
      </c>
      <c r="C207" s="2" t="s">
        <v>915</v>
      </c>
      <c r="D207" s="1">
        <v>50</v>
      </c>
      <c r="E207" s="1">
        <v>1695.65</v>
      </c>
      <c r="F207" s="1">
        <v>0.02</v>
      </c>
      <c r="G207" s="2" t="s">
        <v>561</v>
      </c>
      <c r="H207" s="10">
        <v>51.98</v>
      </c>
      <c r="I207" s="7">
        <v>32.979999999999997</v>
      </c>
      <c r="J207" s="7">
        <v>5.5</v>
      </c>
      <c r="K207" s="2" t="s">
        <v>869</v>
      </c>
      <c r="L207" s="16" t="s">
        <v>921</v>
      </c>
      <c r="M207" s="16" t="s">
        <v>921</v>
      </c>
      <c r="N207" s="2" t="s">
        <v>566</v>
      </c>
      <c r="O207" s="2" t="s">
        <v>569</v>
      </c>
      <c r="P207" s="2" t="s">
        <v>572</v>
      </c>
      <c r="Q207" s="1" t="s">
        <v>62</v>
      </c>
      <c r="R207" s="2" t="s">
        <v>585</v>
      </c>
      <c r="S207" s="8">
        <f>B207+2</f>
        <v>40985</v>
      </c>
    </row>
    <row r="208" spans="1:19" x14ac:dyDescent="0.15">
      <c r="A208" s="1">
        <v>17636</v>
      </c>
      <c r="B208" s="6">
        <f>DATE(2012,12,31)-1426</f>
        <v>39848</v>
      </c>
      <c r="C208" s="2" t="s">
        <v>916</v>
      </c>
      <c r="D208" s="1">
        <v>2</v>
      </c>
      <c r="E208" s="1">
        <v>7.01</v>
      </c>
      <c r="F208" s="1">
        <v>0.03</v>
      </c>
      <c r="G208" s="2" t="s">
        <v>560</v>
      </c>
      <c r="H208" s="10">
        <v>-4.2</v>
      </c>
      <c r="I208" s="7">
        <v>2.94</v>
      </c>
      <c r="J208" s="7">
        <v>0.96</v>
      </c>
      <c r="K208" s="2" t="s">
        <v>830</v>
      </c>
      <c r="L208" s="16" t="s">
        <v>921</v>
      </c>
      <c r="M208" s="16" t="s">
        <v>921</v>
      </c>
      <c r="N208" s="2" t="s">
        <v>564</v>
      </c>
      <c r="O208" s="2" t="s">
        <v>568</v>
      </c>
      <c r="P208" s="2" t="s">
        <v>571</v>
      </c>
      <c r="Q208" s="1" t="s">
        <v>701</v>
      </c>
      <c r="R208" s="2" t="s">
        <v>584</v>
      </c>
      <c r="S208" s="8">
        <f>B208+4</f>
        <v>39852</v>
      </c>
    </row>
    <row r="209" spans="1:19" x14ac:dyDescent="0.15">
      <c r="A209" s="1">
        <v>17669</v>
      </c>
      <c r="B209" s="6">
        <f>DATE(2012,12,31)-1342</f>
        <v>39932</v>
      </c>
      <c r="C209" s="2" t="s">
        <v>913</v>
      </c>
      <c r="D209" s="1">
        <v>32</v>
      </c>
      <c r="E209" s="1">
        <v>1116.03</v>
      </c>
      <c r="F209" s="1">
        <v>0.04</v>
      </c>
      <c r="G209" s="2" t="s">
        <v>560</v>
      </c>
      <c r="H209" s="10">
        <v>203.44</v>
      </c>
      <c r="I209" s="7">
        <v>34.76</v>
      </c>
      <c r="J209" s="7">
        <v>5.49</v>
      </c>
      <c r="K209" s="2" t="s">
        <v>801</v>
      </c>
      <c r="L209" s="16" t="s">
        <v>921</v>
      </c>
      <c r="M209" s="16" t="s">
        <v>921</v>
      </c>
      <c r="N209" s="2" t="s">
        <v>565</v>
      </c>
      <c r="O209" s="2" t="s">
        <v>568</v>
      </c>
      <c r="P209" s="2" t="s">
        <v>577</v>
      </c>
      <c r="Q209" s="1" t="s">
        <v>110</v>
      </c>
      <c r="R209" s="2" t="s">
        <v>585</v>
      </c>
      <c r="S209" s="8">
        <f>B209+1</f>
        <v>39933</v>
      </c>
    </row>
    <row r="210" spans="1:19" x14ac:dyDescent="0.15">
      <c r="A210" s="1">
        <v>17700</v>
      </c>
      <c r="B210" s="6">
        <f>DATE(2012,12,31)-65</f>
        <v>41209</v>
      </c>
      <c r="C210" s="2" t="s">
        <v>917</v>
      </c>
      <c r="D210" s="1">
        <v>20</v>
      </c>
      <c r="E210" s="1">
        <v>2305.75</v>
      </c>
      <c r="F210" s="1">
        <v>0.03</v>
      </c>
      <c r="G210" s="2" t="s">
        <v>560</v>
      </c>
      <c r="H210" s="10">
        <v>-530.67999999999995</v>
      </c>
      <c r="I210" s="7">
        <v>113.64</v>
      </c>
      <c r="J210" s="7">
        <v>35</v>
      </c>
      <c r="K210" s="2" t="s">
        <v>884</v>
      </c>
      <c r="L210" s="16" t="s">
        <v>921</v>
      </c>
      <c r="M210" s="16" t="s">
        <v>921</v>
      </c>
      <c r="N210" s="2" t="s">
        <v>564</v>
      </c>
      <c r="O210" s="2" t="s">
        <v>570</v>
      </c>
      <c r="P210" s="2" t="s">
        <v>579</v>
      </c>
      <c r="Q210" s="1" t="s">
        <v>165</v>
      </c>
      <c r="R210" s="2" t="s">
        <v>585</v>
      </c>
      <c r="S210" s="8">
        <f>B210+1</f>
        <v>41210</v>
      </c>
    </row>
    <row r="211" spans="1:19" x14ac:dyDescent="0.15">
      <c r="A211" s="1">
        <v>17701</v>
      </c>
      <c r="B211" s="6">
        <f>DATE(2012,12,31)-224</f>
        <v>41050</v>
      </c>
      <c r="C211" s="2" t="s">
        <v>917</v>
      </c>
      <c r="D211" s="1">
        <v>21</v>
      </c>
      <c r="E211" s="1">
        <v>80.45</v>
      </c>
      <c r="F211" s="1">
        <v>0.09</v>
      </c>
      <c r="G211" s="2" t="s">
        <v>560</v>
      </c>
      <c r="H211" s="10">
        <v>-60.961500000000001</v>
      </c>
      <c r="I211" s="7">
        <v>3.74</v>
      </c>
      <c r="J211" s="7">
        <v>4.6900000000000004</v>
      </c>
      <c r="K211" s="2" t="s">
        <v>838</v>
      </c>
      <c r="L211" s="16" t="s">
        <v>921</v>
      </c>
      <c r="M211" s="16" t="s">
        <v>921</v>
      </c>
      <c r="N211" s="2" t="s">
        <v>564</v>
      </c>
      <c r="O211" s="2" t="s">
        <v>568</v>
      </c>
      <c r="P211" s="2" t="s">
        <v>88</v>
      </c>
      <c r="Q211" s="1" t="s">
        <v>131</v>
      </c>
      <c r="R211" s="2" t="s">
        <v>585</v>
      </c>
      <c r="S211" s="8">
        <f>B211+1</f>
        <v>41051</v>
      </c>
    </row>
    <row r="212" spans="1:19" x14ac:dyDescent="0.15">
      <c r="A212" s="1">
        <v>17799</v>
      </c>
      <c r="B212" s="6">
        <f>DATE(2012,12,31)-102</f>
        <v>41172</v>
      </c>
      <c r="C212" s="2" t="s">
        <v>914</v>
      </c>
      <c r="D212" s="1">
        <v>8</v>
      </c>
      <c r="E212" s="1">
        <v>149.51</v>
      </c>
      <c r="F212" s="1">
        <v>0.02</v>
      </c>
      <c r="G212" s="2" t="s">
        <v>560</v>
      </c>
      <c r="H212" s="10">
        <v>-31.11</v>
      </c>
      <c r="I212" s="7">
        <v>16.98</v>
      </c>
      <c r="J212" s="7">
        <v>12.39</v>
      </c>
      <c r="K212" s="2" t="s">
        <v>884</v>
      </c>
      <c r="L212" s="16" t="s">
        <v>921</v>
      </c>
      <c r="M212" s="16" t="s">
        <v>921</v>
      </c>
      <c r="N212" s="2" t="s">
        <v>566</v>
      </c>
      <c r="O212" s="2" t="s">
        <v>570</v>
      </c>
      <c r="P212" s="2" t="s">
        <v>579</v>
      </c>
      <c r="Q212" s="1" t="s">
        <v>598</v>
      </c>
      <c r="R212" s="2" t="s">
        <v>590</v>
      </c>
      <c r="S212" s="8">
        <f>B212+2</f>
        <v>41174</v>
      </c>
    </row>
    <row r="213" spans="1:19" x14ac:dyDescent="0.15">
      <c r="A213" s="1">
        <v>18275</v>
      </c>
      <c r="B213" s="6">
        <f>DATE(2012,12,31)-356</f>
        <v>40918</v>
      </c>
      <c r="C213" s="2" t="s">
        <v>916</v>
      </c>
      <c r="D213" s="1">
        <v>25</v>
      </c>
      <c r="E213" s="1">
        <v>322.73</v>
      </c>
      <c r="F213" s="1">
        <v>7.0000000000000007E-2</v>
      </c>
      <c r="G213" s="2" t="s">
        <v>560</v>
      </c>
      <c r="H213" s="10">
        <v>101.83</v>
      </c>
      <c r="I213" s="7">
        <v>13.4</v>
      </c>
      <c r="J213" s="7">
        <v>4.95</v>
      </c>
      <c r="K213" s="2" t="s">
        <v>896</v>
      </c>
      <c r="L213" s="16" t="s">
        <v>921</v>
      </c>
      <c r="M213" s="16" t="s">
        <v>921</v>
      </c>
      <c r="N213" s="2" t="s">
        <v>567</v>
      </c>
      <c r="O213" s="2" t="s">
        <v>570</v>
      </c>
      <c r="P213" s="2" t="s">
        <v>579</v>
      </c>
      <c r="Q213" s="1" t="s">
        <v>22</v>
      </c>
      <c r="R213" s="2" t="s">
        <v>587</v>
      </c>
      <c r="S213" s="8">
        <f>B213+4</f>
        <v>40922</v>
      </c>
    </row>
    <row r="214" spans="1:19" x14ac:dyDescent="0.15">
      <c r="A214" s="1">
        <v>18336</v>
      </c>
      <c r="B214" s="6">
        <f>DATE(2012,12,31)-1347</f>
        <v>39927</v>
      </c>
      <c r="C214" s="2" t="s">
        <v>915</v>
      </c>
      <c r="D214" s="1">
        <v>1</v>
      </c>
      <c r="E214" s="1">
        <v>7.96</v>
      </c>
      <c r="F214" s="1">
        <v>0</v>
      </c>
      <c r="G214" s="2" t="s">
        <v>561</v>
      </c>
      <c r="H214" s="10">
        <v>-0.10999999999999943</v>
      </c>
      <c r="I214" s="7">
        <v>2.88</v>
      </c>
      <c r="J214" s="7">
        <v>0.7</v>
      </c>
      <c r="K214" s="2" t="s">
        <v>829</v>
      </c>
      <c r="L214" s="16" t="s">
        <v>921</v>
      </c>
      <c r="M214" s="16" t="s">
        <v>921</v>
      </c>
      <c r="N214" s="2" t="s">
        <v>566</v>
      </c>
      <c r="O214" s="2" t="s">
        <v>568</v>
      </c>
      <c r="P214" s="2" t="s">
        <v>571</v>
      </c>
      <c r="Q214" s="1" t="s">
        <v>262</v>
      </c>
      <c r="R214" s="2" t="s">
        <v>584</v>
      </c>
      <c r="S214" s="8">
        <f>B214+0</f>
        <v>39927</v>
      </c>
    </row>
    <row r="215" spans="1:19" x14ac:dyDescent="0.15">
      <c r="A215" s="1">
        <v>18402</v>
      </c>
      <c r="B215" s="6">
        <f>DATE(2012,12,31)-1220</f>
        <v>40054</v>
      </c>
      <c r="C215" s="2" t="s">
        <v>916</v>
      </c>
      <c r="D215" s="1">
        <v>5</v>
      </c>
      <c r="E215" s="1">
        <v>1548.45</v>
      </c>
      <c r="F215" s="1">
        <v>0.03</v>
      </c>
      <c r="G215" s="2" t="s">
        <v>562</v>
      </c>
      <c r="H215" s="10">
        <v>-224.2</v>
      </c>
      <c r="I215" s="7">
        <v>284.98</v>
      </c>
      <c r="J215" s="7">
        <v>69.55</v>
      </c>
      <c r="K215" s="2" t="s">
        <v>403</v>
      </c>
      <c r="L215" s="16" t="s">
        <v>921</v>
      </c>
      <c r="M215" s="16" t="s">
        <v>921</v>
      </c>
      <c r="N215" s="2" t="s">
        <v>567</v>
      </c>
      <c r="O215" s="2" t="s">
        <v>570</v>
      </c>
      <c r="P215" s="2" t="s">
        <v>574</v>
      </c>
      <c r="Q215" s="1" t="s">
        <v>201</v>
      </c>
      <c r="R215" s="2" t="s">
        <v>586</v>
      </c>
      <c r="S215" s="8">
        <f>B215+7</f>
        <v>40061</v>
      </c>
    </row>
    <row r="216" spans="1:19" x14ac:dyDescent="0.15">
      <c r="A216" s="1">
        <v>18402</v>
      </c>
      <c r="B216" s="6">
        <f>DATE(2012,12,31)-1220</f>
        <v>40054</v>
      </c>
      <c r="C216" s="2" t="s">
        <v>916</v>
      </c>
      <c r="D216" s="1">
        <v>3</v>
      </c>
      <c r="E216" s="1">
        <v>56.07</v>
      </c>
      <c r="F216" s="1">
        <v>0</v>
      </c>
      <c r="G216" s="2" t="s">
        <v>560</v>
      </c>
      <c r="H216" s="10">
        <v>10.49</v>
      </c>
      <c r="I216" s="7">
        <v>12.99</v>
      </c>
      <c r="J216" s="7">
        <v>14.37</v>
      </c>
      <c r="K216" s="2" t="s">
        <v>403</v>
      </c>
      <c r="L216" s="16" t="s">
        <v>921</v>
      </c>
      <c r="M216" s="16" t="s">
        <v>921</v>
      </c>
      <c r="N216" s="2" t="s">
        <v>567</v>
      </c>
      <c r="O216" s="2" t="s">
        <v>570</v>
      </c>
      <c r="P216" s="2" t="s">
        <v>579</v>
      </c>
      <c r="Q216" s="1" t="s">
        <v>663</v>
      </c>
      <c r="R216" s="2" t="s">
        <v>590</v>
      </c>
      <c r="S216" s="8">
        <f>B216+0</f>
        <v>40054</v>
      </c>
    </row>
    <row r="217" spans="1:19" x14ac:dyDescent="0.15">
      <c r="A217" s="1">
        <v>18466</v>
      </c>
      <c r="B217" s="6">
        <f>DATE(2012,12,31)-224</f>
        <v>41050</v>
      </c>
      <c r="C217" s="2" t="s">
        <v>916</v>
      </c>
      <c r="D217" s="1">
        <v>25</v>
      </c>
      <c r="E217" s="1">
        <v>270.16000000000003</v>
      </c>
      <c r="F217" s="1">
        <v>0.09</v>
      </c>
      <c r="G217" s="2" t="s">
        <v>560</v>
      </c>
      <c r="H217" s="10">
        <v>16.920000000000002</v>
      </c>
      <c r="I217" s="7">
        <v>11.09</v>
      </c>
      <c r="J217" s="7">
        <v>5.25</v>
      </c>
      <c r="K217" s="2" t="s">
        <v>403</v>
      </c>
      <c r="L217" s="16" t="s">
        <v>921</v>
      </c>
      <c r="M217" s="16" t="s">
        <v>921</v>
      </c>
      <c r="N217" s="2" t="s">
        <v>567</v>
      </c>
      <c r="O217" s="2" t="s">
        <v>568</v>
      </c>
      <c r="P217" s="2" t="s">
        <v>575</v>
      </c>
      <c r="Q217" s="1" t="s">
        <v>455</v>
      </c>
      <c r="R217" s="2" t="s">
        <v>585</v>
      </c>
      <c r="S217" s="8">
        <f>B217+9</f>
        <v>41059</v>
      </c>
    </row>
    <row r="218" spans="1:19" x14ac:dyDescent="0.15">
      <c r="A218" s="1">
        <v>18466</v>
      </c>
      <c r="B218" s="6">
        <f>DATE(2012,12,31)-224</f>
        <v>41050</v>
      </c>
      <c r="C218" s="2" t="s">
        <v>916</v>
      </c>
      <c r="D218" s="1">
        <v>24</v>
      </c>
      <c r="E218" s="1">
        <v>2694.01</v>
      </c>
      <c r="F218" s="1">
        <v>0.08</v>
      </c>
      <c r="G218" s="2" t="s">
        <v>561</v>
      </c>
      <c r="H218" s="10">
        <v>994.31</v>
      </c>
      <c r="I218" s="7">
        <v>120.97</v>
      </c>
      <c r="J218" s="7">
        <v>7.11</v>
      </c>
      <c r="K218" s="2" t="s">
        <v>403</v>
      </c>
      <c r="L218" s="16" t="s">
        <v>921</v>
      </c>
      <c r="M218" s="16" t="s">
        <v>921</v>
      </c>
      <c r="N218" s="2" t="s">
        <v>567</v>
      </c>
      <c r="O218" s="2" t="s">
        <v>569</v>
      </c>
      <c r="P218" s="2" t="s">
        <v>583</v>
      </c>
      <c r="Q218" s="1" t="s">
        <v>19</v>
      </c>
      <c r="R218" s="2" t="s">
        <v>589</v>
      </c>
      <c r="S218" s="8">
        <f>B218+0</f>
        <v>41050</v>
      </c>
    </row>
    <row r="219" spans="1:19" x14ac:dyDescent="0.15">
      <c r="A219" s="1">
        <v>18530</v>
      </c>
      <c r="B219" s="6">
        <f>DATE(2012,12,31)-731</f>
        <v>40543</v>
      </c>
      <c r="C219" s="2" t="s">
        <v>915</v>
      </c>
      <c r="D219" s="1">
        <v>2</v>
      </c>
      <c r="E219" s="1">
        <v>56.13</v>
      </c>
      <c r="F219" s="1">
        <v>0.02</v>
      </c>
      <c r="G219" s="2" t="s">
        <v>560</v>
      </c>
      <c r="H219" s="10">
        <v>48.85</v>
      </c>
      <c r="I219" s="7">
        <v>20.28</v>
      </c>
      <c r="J219" s="7">
        <v>14.39</v>
      </c>
      <c r="K219" s="2" t="s">
        <v>766</v>
      </c>
      <c r="L219" s="16" t="s">
        <v>921</v>
      </c>
      <c r="M219" s="16" t="s">
        <v>921</v>
      </c>
      <c r="N219" s="2" t="s">
        <v>567</v>
      </c>
      <c r="O219" s="2" t="s">
        <v>570</v>
      </c>
      <c r="P219" s="2" t="s">
        <v>579</v>
      </c>
      <c r="Q219" s="1" t="s">
        <v>78</v>
      </c>
      <c r="R219" s="2" t="s">
        <v>585</v>
      </c>
      <c r="S219" s="8">
        <f>B219+0</f>
        <v>40543</v>
      </c>
    </row>
    <row r="220" spans="1:19" x14ac:dyDescent="0.15">
      <c r="A220" s="1">
        <v>18530</v>
      </c>
      <c r="B220" s="6">
        <f>DATE(2012,12,31)-731</f>
        <v>40543</v>
      </c>
      <c r="C220" s="2" t="s">
        <v>915</v>
      </c>
      <c r="D220" s="1">
        <v>25</v>
      </c>
      <c r="E220" s="1">
        <v>1491.5205000000001</v>
      </c>
      <c r="F220" s="1">
        <v>0</v>
      </c>
      <c r="G220" s="2" t="s">
        <v>560</v>
      </c>
      <c r="H220" s="10">
        <v>286.36200000000002</v>
      </c>
      <c r="I220" s="7">
        <v>65.989999999999995</v>
      </c>
      <c r="J220" s="7">
        <v>5.99</v>
      </c>
      <c r="K220" s="2" t="s">
        <v>766</v>
      </c>
      <c r="L220" s="16" t="s">
        <v>921</v>
      </c>
      <c r="M220" s="16" t="s">
        <v>921</v>
      </c>
      <c r="N220" s="2" t="s">
        <v>567</v>
      </c>
      <c r="O220" s="2" t="s">
        <v>569</v>
      </c>
      <c r="P220" s="2" t="s">
        <v>87</v>
      </c>
      <c r="Q220" s="1" t="s">
        <v>176</v>
      </c>
      <c r="R220" s="2" t="s">
        <v>585</v>
      </c>
      <c r="S220" s="8">
        <f>B220+2</f>
        <v>40545</v>
      </c>
    </row>
    <row r="221" spans="1:19" x14ac:dyDescent="0.15">
      <c r="A221" s="1">
        <v>18790</v>
      </c>
      <c r="B221" s="6">
        <f>DATE(2012,12,31)-1419</f>
        <v>39855</v>
      </c>
      <c r="C221" s="2" t="s">
        <v>913</v>
      </c>
      <c r="D221" s="1">
        <v>7</v>
      </c>
      <c r="E221" s="1">
        <v>13253.93</v>
      </c>
      <c r="F221" s="1">
        <v>0.01</v>
      </c>
      <c r="G221" s="2" t="s">
        <v>562</v>
      </c>
      <c r="H221" s="10">
        <v>-1596.7457999999999</v>
      </c>
      <c r="I221" s="7">
        <v>2036.48</v>
      </c>
      <c r="J221" s="7">
        <v>14.7</v>
      </c>
      <c r="K221" s="2" t="s">
        <v>805</v>
      </c>
      <c r="L221" s="16" t="s">
        <v>921</v>
      </c>
      <c r="M221" s="16" t="s">
        <v>921</v>
      </c>
      <c r="N221" s="2" t="s">
        <v>566</v>
      </c>
      <c r="O221" s="2" t="s">
        <v>569</v>
      </c>
      <c r="P221" s="2" t="s">
        <v>583</v>
      </c>
      <c r="Q221" s="1" t="s">
        <v>255</v>
      </c>
      <c r="R221" s="2" t="s">
        <v>586</v>
      </c>
      <c r="S221" s="8">
        <f>B221+2</f>
        <v>39857</v>
      </c>
    </row>
    <row r="222" spans="1:19" x14ac:dyDescent="0.15">
      <c r="A222" s="1">
        <v>18819</v>
      </c>
      <c r="B222" s="6">
        <f>DATE(2012,12,31)-1405</f>
        <v>39869</v>
      </c>
      <c r="C222" s="2" t="s">
        <v>916</v>
      </c>
      <c r="D222" s="1">
        <v>22</v>
      </c>
      <c r="E222" s="1">
        <v>1102.3</v>
      </c>
      <c r="F222" s="1">
        <v>0.1</v>
      </c>
      <c r="G222" s="2" t="s">
        <v>560</v>
      </c>
      <c r="H222" s="10">
        <v>98.12</v>
      </c>
      <c r="I222" s="7">
        <v>50.98</v>
      </c>
      <c r="J222" s="7">
        <v>22.24</v>
      </c>
      <c r="K222" s="2" t="s">
        <v>852</v>
      </c>
      <c r="L222" s="16" t="s">
        <v>921</v>
      </c>
      <c r="M222" s="16" t="s">
        <v>921</v>
      </c>
      <c r="N222" s="2" t="s">
        <v>567</v>
      </c>
      <c r="O222" s="2" t="s">
        <v>570</v>
      </c>
      <c r="P222" s="2" t="s">
        <v>579</v>
      </c>
      <c r="Q222" s="1" t="s">
        <v>199</v>
      </c>
      <c r="R222" s="2" t="s">
        <v>590</v>
      </c>
      <c r="S222" s="8">
        <f>B222+2</f>
        <v>39871</v>
      </c>
    </row>
    <row r="223" spans="1:19" x14ac:dyDescent="0.15">
      <c r="A223" s="1">
        <v>18849</v>
      </c>
      <c r="B223" s="6">
        <f>DATE(2012,12,31)-148</f>
        <v>41126</v>
      </c>
      <c r="C223" s="2" t="s">
        <v>913</v>
      </c>
      <c r="D223" s="1">
        <v>43</v>
      </c>
      <c r="E223" s="1">
        <v>471.87</v>
      </c>
      <c r="F223" s="1">
        <v>0.05</v>
      </c>
      <c r="G223" s="2" t="s">
        <v>560</v>
      </c>
      <c r="H223" s="10">
        <v>52.27</v>
      </c>
      <c r="I223" s="7">
        <v>11.09</v>
      </c>
      <c r="J223" s="7">
        <v>5.25</v>
      </c>
      <c r="K223" s="2" t="s">
        <v>403</v>
      </c>
      <c r="L223" s="16" t="s">
        <v>921</v>
      </c>
      <c r="M223" s="16" t="s">
        <v>921</v>
      </c>
      <c r="N223" s="2" t="s">
        <v>567</v>
      </c>
      <c r="O223" s="2" t="s">
        <v>568</v>
      </c>
      <c r="P223" s="2" t="s">
        <v>575</v>
      </c>
      <c r="Q223" s="1" t="s">
        <v>455</v>
      </c>
      <c r="R223" s="2" t="s">
        <v>585</v>
      </c>
      <c r="S223" s="8">
        <f>B223+0</f>
        <v>41126</v>
      </c>
    </row>
    <row r="224" spans="1:19" x14ac:dyDescent="0.15">
      <c r="A224" s="1">
        <v>18849</v>
      </c>
      <c r="B224" s="6">
        <f>DATE(2012,12,31)-148</f>
        <v>41126</v>
      </c>
      <c r="C224" s="2" t="s">
        <v>913</v>
      </c>
      <c r="D224" s="1">
        <v>39</v>
      </c>
      <c r="E224" s="1">
        <v>539.6</v>
      </c>
      <c r="F224" s="1">
        <v>0.06</v>
      </c>
      <c r="G224" s="2" t="s">
        <v>560</v>
      </c>
      <c r="H224" s="10">
        <v>-6.5</v>
      </c>
      <c r="I224" s="7">
        <v>13.79</v>
      </c>
      <c r="J224" s="7">
        <v>8.7799999999999994</v>
      </c>
      <c r="K224" s="2" t="s">
        <v>403</v>
      </c>
      <c r="L224" s="16" t="s">
        <v>921</v>
      </c>
      <c r="M224" s="16" t="s">
        <v>921</v>
      </c>
      <c r="N224" s="2" t="s">
        <v>567</v>
      </c>
      <c r="O224" s="2" t="s">
        <v>570</v>
      </c>
      <c r="P224" s="2" t="s">
        <v>579</v>
      </c>
      <c r="Q224" s="1" t="s">
        <v>594</v>
      </c>
      <c r="R224" s="2" t="s">
        <v>585</v>
      </c>
      <c r="S224" s="8">
        <f>B224+2</f>
        <v>41128</v>
      </c>
    </row>
    <row r="225" spans="1:19" x14ac:dyDescent="0.15">
      <c r="A225" s="1">
        <v>18855</v>
      </c>
      <c r="B225" s="6">
        <f>DATE(2012,12,31)-1203</f>
        <v>40071</v>
      </c>
      <c r="C225" s="2" t="s">
        <v>913</v>
      </c>
      <c r="D225" s="1">
        <v>31</v>
      </c>
      <c r="E225" s="1">
        <v>229.43</v>
      </c>
      <c r="F225" s="1">
        <v>0.03</v>
      </c>
      <c r="G225" s="2" t="s">
        <v>560</v>
      </c>
      <c r="H225" s="10">
        <v>-127.05200000000001</v>
      </c>
      <c r="I225" s="7">
        <v>7.3</v>
      </c>
      <c r="J225" s="7">
        <v>7.72</v>
      </c>
      <c r="K225" s="2" t="s">
        <v>891</v>
      </c>
      <c r="L225" s="16" t="s">
        <v>921</v>
      </c>
      <c r="M225" s="16" t="s">
        <v>921</v>
      </c>
      <c r="N225" s="2" t="s">
        <v>565</v>
      </c>
      <c r="O225" s="2" t="s">
        <v>568</v>
      </c>
      <c r="P225" s="2" t="s">
        <v>88</v>
      </c>
      <c r="Q225" s="1" t="s">
        <v>294</v>
      </c>
      <c r="R225" s="2" t="s">
        <v>585</v>
      </c>
      <c r="S225" s="8">
        <f>B225+3</f>
        <v>40074</v>
      </c>
    </row>
    <row r="226" spans="1:19" x14ac:dyDescent="0.15">
      <c r="A226" s="1">
        <v>19040</v>
      </c>
      <c r="B226" s="6">
        <f>DATE(2012,12,31)-378</f>
        <v>40896</v>
      </c>
      <c r="C226" s="2" t="s">
        <v>913</v>
      </c>
      <c r="D226" s="1">
        <v>10</v>
      </c>
      <c r="E226" s="1">
        <v>211.97</v>
      </c>
      <c r="F226" s="1">
        <v>0.06</v>
      </c>
      <c r="G226" s="2" t="s">
        <v>560</v>
      </c>
      <c r="H226" s="10">
        <v>-46.83</v>
      </c>
      <c r="I226" s="7">
        <v>21.38</v>
      </c>
      <c r="J226" s="7">
        <v>8.99</v>
      </c>
      <c r="K226" s="2" t="s">
        <v>868</v>
      </c>
      <c r="L226" s="16" t="s">
        <v>921</v>
      </c>
      <c r="M226" s="16" t="s">
        <v>921</v>
      </c>
      <c r="N226" s="2" t="s">
        <v>567</v>
      </c>
      <c r="O226" s="2" t="s">
        <v>568</v>
      </c>
      <c r="P226" s="2" t="s">
        <v>571</v>
      </c>
      <c r="Q226" s="1" t="s">
        <v>127</v>
      </c>
      <c r="R226" s="2" t="s">
        <v>587</v>
      </c>
      <c r="S226" s="8">
        <f>B226+1</f>
        <v>40897</v>
      </c>
    </row>
    <row r="227" spans="1:19" x14ac:dyDescent="0.15">
      <c r="A227" s="1">
        <v>19041</v>
      </c>
      <c r="B227" s="6">
        <f>DATE(2012,12,31)-524</f>
        <v>40750</v>
      </c>
      <c r="C227" s="2" t="s">
        <v>916</v>
      </c>
      <c r="D227" s="1">
        <v>3</v>
      </c>
      <c r="E227" s="1">
        <v>36.06</v>
      </c>
      <c r="F227" s="1">
        <v>0.08</v>
      </c>
      <c r="G227" s="2" t="s">
        <v>560</v>
      </c>
      <c r="H227" s="10">
        <v>-18.5</v>
      </c>
      <c r="I227" s="7">
        <v>10.89</v>
      </c>
      <c r="J227" s="7">
        <v>4.5</v>
      </c>
      <c r="K227" s="2" t="s">
        <v>766</v>
      </c>
      <c r="L227" s="16" t="s">
        <v>921</v>
      </c>
      <c r="M227" s="16" t="s">
        <v>921</v>
      </c>
      <c r="N227" s="2" t="s">
        <v>567</v>
      </c>
      <c r="O227" s="2" t="s">
        <v>568</v>
      </c>
      <c r="P227" s="2" t="s">
        <v>576</v>
      </c>
      <c r="Q227" s="1" t="s">
        <v>657</v>
      </c>
      <c r="R227" s="2" t="s">
        <v>585</v>
      </c>
      <c r="S227" s="8">
        <f>B227+4</f>
        <v>40754</v>
      </c>
    </row>
    <row r="228" spans="1:19" x14ac:dyDescent="0.15">
      <c r="A228" s="1">
        <v>19041</v>
      </c>
      <c r="B228" s="6">
        <f>DATE(2012,12,31)-524</f>
        <v>40750</v>
      </c>
      <c r="C228" s="2" t="s">
        <v>916</v>
      </c>
      <c r="D228" s="1">
        <v>43</v>
      </c>
      <c r="E228" s="1">
        <v>1849.8</v>
      </c>
      <c r="F228" s="1">
        <v>0.04</v>
      </c>
      <c r="G228" s="2" t="s">
        <v>560</v>
      </c>
      <c r="H228" s="10">
        <v>530.22</v>
      </c>
      <c r="I228" s="7">
        <v>42.98</v>
      </c>
      <c r="J228" s="7">
        <v>4.62</v>
      </c>
      <c r="K228" s="2" t="s">
        <v>766</v>
      </c>
      <c r="L228" s="16" t="s">
        <v>921</v>
      </c>
      <c r="M228" s="16" t="s">
        <v>921</v>
      </c>
      <c r="N228" s="2" t="s">
        <v>567</v>
      </c>
      <c r="O228" s="2" t="s">
        <v>568</v>
      </c>
      <c r="P228" s="2" t="s">
        <v>576</v>
      </c>
      <c r="Q228" s="1" t="s">
        <v>548</v>
      </c>
      <c r="R228" s="2" t="s">
        <v>585</v>
      </c>
      <c r="S228" s="8">
        <f>B228+9</f>
        <v>40759</v>
      </c>
    </row>
    <row r="229" spans="1:19" x14ac:dyDescent="0.15">
      <c r="A229" s="1">
        <v>19047</v>
      </c>
      <c r="B229" s="6">
        <f>DATE(2012,12,31)-1433</f>
        <v>39841</v>
      </c>
      <c r="C229" s="2" t="s">
        <v>913</v>
      </c>
      <c r="D229" s="1">
        <v>1</v>
      </c>
      <c r="E229" s="1">
        <v>67.489999999999995</v>
      </c>
      <c r="F229" s="1">
        <v>0.06</v>
      </c>
      <c r="G229" s="2" t="s">
        <v>560</v>
      </c>
      <c r="H229" s="10">
        <v>-22.82</v>
      </c>
      <c r="I229" s="7">
        <v>55.48</v>
      </c>
      <c r="J229" s="7">
        <v>14.3</v>
      </c>
      <c r="K229" s="2" t="s">
        <v>868</v>
      </c>
      <c r="L229" s="16" t="s">
        <v>921</v>
      </c>
      <c r="M229" s="16" t="s">
        <v>921</v>
      </c>
      <c r="N229" s="2" t="s">
        <v>567</v>
      </c>
      <c r="O229" s="2" t="s">
        <v>568</v>
      </c>
      <c r="P229" s="2" t="s">
        <v>573</v>
      </c>
      <c r="Q229" s="1" t="s">
        <v>682</v>
      </c>
      <c r="R229" s="2" t="s">
        <v>585</v>
      </c>
      <c r="S229" s="8">
        <f>B229+1</f>
        <v>39842</v>
      </c>
    </row>
    <row r="230" spans="1:19" x14ac:dyDescent="0.15">
      <c r="A230" s="1">
        <v>19047</v>
      </c>
      <c r="B230" s="6">
        <f>DATE(2012,12,31)-1433</f>
        <v>39841</v>
      </c>
      <c r="C230" s="2" t="s">
        <v>913</v>
      </c>
      <c r="D230" s="1">
        <v>3</v>
      </c>
      <c r="E230" s="1">
        <v>6.76</v>
      </c>
      <c r="F230" s="1">
        <v>0.02</v>
      </c>
      <c r="G230" s="2" t="s">
        <v>560</v>
      </c>
      <c r="H230" s="10">
        <v>-4.28</v>
      </c>
      <c r="I230" s="7">
        <v>1.68</v>
      </c>
      <c r="J230" s="7">
        <v>1.57</v>
      </c>
      <c r="K230" s="2" t="s">
        <v>868</v>
      </c>
      <c r="L230" s="16" t="s">
        <v>921</v>
      </c>
      <c r="M230" s="16" t="s">
        <v>921</v>
      </c>
      <c r="N230" s="2" t="s">
        <v>567</v>
      </c>
      <c r="O230" s="2" t="s">
        <v>568</v>
      </c>
      <c r="P230" s="2" t="s">
        <v>571</v>
      </c>
      <c r="Q230" s="1" t="s">
        <v>727</v>
      </c>
      <c r="R230" s="2" t="s">
        <v>584</v>
      </c>
      <c r="S230" s="8">
        <f>B230+2</f>
        <v>39843</v>
      </c>
    </row>
    <row r="231" spans="1:19" x14ac:dyDescent="0.15">
      <c r="A231" s="1">
        <v>19143</v>
      </c>
      <c r="B231" s="6">
        <f>DATE(2012,12,31)-57</f>
        <v>41217</v>
      </c>
      <c r="C231" s="2" t="s">
        <v>913</v>
      </c>
      <c r="D231" s="1">
        <v>3</v>
      </c>
      <c r="E231" s="1">
        <v>2421.02</v>
      </c>
      <c r="F231" s="1">
        <v>7.0000000000000007E-2</v>
      </c>
      <c r="G231" s="2" t="s">
        <v>562</v>
      </c>
      <c r="H231" s="10">
        <v>-1943.1711000000003</v>
      </c>
      <c r="I231" s="7">
        <v>810.98</v>
      </c>
      <c r="J231" s="7">
        <v>16.059999999999999</v>
      </c>
      <c r="K231" s="2" t="s">
        <v>807</v>
      </c>
      <c r="L231" s="16" t="s">
        <v>921</v>
      </c>
      <c r="M231" s="16" t="s">
        <v>921</v>
      </c>
      <c r="N231" s="2" t="s">
        <v>564</v>
      </c>
      <c r="O231" s="2" t="s">
        <v>569</v>
      </c>
      <c r="P231" s="2" t="s">
        <v>583</v>
      </c>
      <c r="Q231" s="1" t="s">
        <v>613</v>
      </c>
      <c r="R231" s="2" t="s">
        <v>586</v>
      </c>
      <c r="S231" s="8">
        <f>B231+1</f>
        <v>41218</v>
      </c>
    </row>
    <row r="232" spans="1:19" x14ac:dyDescent="0.15">
      <c r="A232" s="1">
        <v>19264</v>
      </c>
      <c r="B232" s="6">
        <f>DATE(2012,12,31)-459</f>
        <v>40815</v>
      </c>
      <c r="C232" s="2" t="s">
        <v>913</v>
      </c>
      <c r="D232" s="1">
        <v>40</v>
      </c>
      <c r="E232" s="1">
        <v>161.72</v>
      </c>
      <c r="F232" s="1">
        <v>0.09</v>
      </c>
      <c r="G232" s="2" t="s">
        <v>560</v>
      </c>
      <c r="H232" s="10">
        <v>-134.71100000000001</v>
      </c>
      <c r="I232" s="7">
        <v>3.98</v>
      </c>
      <c r="J232" s="7">
        <v>5.26</v>
      </c>
      <c r="K232" s="2" t="s">
        <v>765</v>
      </c>
      <c r="L232" s="16" t="s">
        <v>921</v>
      </c>
      <c r="M232" s="16" t="s">
        <v>921</v>
      </c>
      <c r="N232" s="2" t="s">
        <v>566</v>
      </c>
      <c r="O232" s="2" t="s">
        <v>568</v>
      </c>
      <c r="P232" s="2" t="s">
        <v>88</v>
      </c>
      <c r="Q232" s="1" t="s">
        <v>757</v>
      </c>
      <c r="R232" s="2" t="s">
        <v>585</v>
      </c>
      <c r="S232" s="8">
        <f>B232+2</f>
        <v>40817</v>
      </c>
    </row>
    <row r="233" spans="1:19" x14ac:dyDescent="0.15">
      <c r="A233" s="1">
        <v>19264</v>
      </c>
      <c r="B233" s="6">
        <f>DATE(2012,12,31)-459</f>
        <v>40815</v>
      </c>
      <c r="C233" s="2" t="s">
        <v>913</v>
      </c>
      <c r="D233" s="1">
        <v>23</v>
      </c>
      <c r="E233" s="1">
        <v>107.75</v>
      </c>
      <c r="F233" s="1">
        <v>7.0000000000000007E-2</v>
      </c>
      <c r="G233" s="2" t="s">
        <v>560</v>
      </c>
      <c r="H233" s="10">
        <v>24.17</v>
      </c>
      <c r="I233" s="7">
        <v>4.7300000000000004</v>
      </c>
      <c r="J233" s="7">
        <v>1.52</v>
      </c>
      <c r="K233" s="2" t="s">
        <v>765</v>
      </c>
      <c r="L233" s="16" t="s">
        <v>921</v>
      </c>
      <c r="M233" s="16" t="s">
        <v>921</v>
      </c>
      <c r="N233" s="2" t="s">
        <v>566</v>
      </c>
      <c r="O233" s="2" t="s">
        <v>568</v>
      </c>
      <c r="P233" s="2" t="s">
        <v>573</v>
      </c>
      <c r="Q233" s="1" t="s">
        <v>433</v>
      </c>
      <c r="R233" s="2" t="s">
        <v>584</v>
      </c>
      <c r="S233" s="8">
        <f>B233+1</f>
        <v>40816</v>
      </c>
    </row>
    <row r="234" spans="1:19" x14ac:dyDescent="0.15">
      <c r="A234" s="1">
        <v>19296</v>
      </c>
      <c r="B234" s="6">
        <f>DATE(2012,12,31)-996</f>
        <v>40278</v>
      </c>
      <c r="C234" s="2" t="s">
        <v>913</v>
      </c>
      <c r="D234" s="1">
        <v>43</v>
      </c>
      <c r="E234" s="1">
        <v>75.73</v>
      </c>
      <c r="F234" s="1">
        <v>0.04</v>
      </c>
      <c r="G234" s="2" t="s">
        <v>561</v>
      </c>
      <c r="H234" s="10">
        <v>-37.76</v>
      </c>
      <c r="I234" s="7">
        <v>1.68</v>
      </c>
      <c r="J234" s="7">
        <v>1.57</v>
      </c>
      <c r="K234" s="2" t="s">
        <v>902</v>
      </c>
      <c r="L234" s="16" t="s">
        <v>921</v>
      </c>
      <c r="M234" s="16" t="s">
        <v>921</v>
      </c>
      <c r="N234" s="2" t="s">
        <v>564</v>
      </c>
      <c r="O234" s="2" t="s">
        <v>568</v>
      </c>
      <c r="P234" s="2" t="s">
        <v>571</v>
      </c>
      <c r="Q234" s="1" t="s">
        <v>727</v>
      </c>
      <c r="R234" s="2" t="s">
        <v>584</v>
      </c>
      <c r="S234" s="8">
        <f>B234+2</f>
        <v>40280</v>
      </c>
    </row>
    <row r="235" spans="1:19" x14ac:dyDescent="0.15">
      <c r="A235" s="1">
        <v>19299</v>
      </c>
      <c r="B235" s="6">
        <f>DATE(2012,12,31)-1384</f>
        <v>39890</v>
      </c>
      <c r="C235" s="2" t="s">
        <v>915</v>
      </c>
      <c r="D235" s="1">
        <v>10</v>
      </c>
      <c r="E235" s="1">
        <v>29.23</v>
      </c>
      <c r="F235" s="1">
        <v>0.05</v>
      </c>
      <c r="G235" s="2" t="s">
        <v>560</v>
      </c>
      <c r="H235" s="10">
        <v>8.1</v>
      </c>
      <c r="I235" s="7">
        <v>2.88</v>
      </c>
      <c r="J235" s="7">
        <v>0.5</v>
      </c>
      <c r="K235" s="2" t="s">
        <v>819</v>
      </c>
      <c r="L235" s="16" t="s">
        <v>921</v>
      </c>
      <c r="M235" s="16" t="s">
        <v>921</v>
      </c>
      <c r="N235" s="2" t="s">
        <v>567</v>
      </c>
      <c r="O235" s="2" t="s">
        <v>568</v>
      </c>
      <c r="P235" s="2" t="s">
        <v>582</v>
      </c>
      <c r="Q235" s="1" t="s">
        <v>715</v>
      </c>
      <c r="R235" s="2" t="s">
        <v>585</v>
      </c>
      <c r="S235" s="8">
        <f>B235+2</f>
        <v>39892</v>
      </c>
    </row>
    <row r="236" spans="1:19" x14ac:dyDescent="0.15">
      <c r="A236" s="1">
        <v>19429</v>
      </c>
      <c r="B236" s="6">
        <f>DATE(2012,12,31)-1225</f>
        <v>40049</v>
      </c>
      <c r="C236" s="2" t="s">
        <v>915</v>
      </c>
      <c r="D236" s="1">
        <v>2</v>
      </c>
      <c r="E236" s="1">
        <v>240.24</v>
      </c>
      <c r="F236" s="1">
        <v>0.05</v>
      </c>
      <c r="G236" s="2" t="s">
        <v>562</v>
      </c>
      <c r="H236" s="10">
        <v>-84.93</v>
      </c>
      <c r="I236" s="7">
        <v>124.49</v>
      </c>
      <c r="J236" s="7">
        <v>51.94</v>
      </c>
      <c r="K236" s="2" t="s">
        <v>830</v>
      </c>
      <c r="L236" s="16" t="s">
        <v>921</v>
      </c>
      <c r="M236" s="16" t="s">
        <v>921</v>
      </c>
      <c r="N236" s="2" t="s">
        <v>564</v>
      </c>
      <c r="O236" s="2" t="s">
        <v>570</v>
      </c>
      <c r="P236" s="2" t="s">
        <v>578</v>
      </c>
      <c r="Q236" s="1" t="s">
        <v>21</v>
      </c>
      <c r="R236" s="2" t="s">
        <v>588</v>
      </c>
      <c r="S236" s="8">
        <f>B236+0</f>
        <v>40049</v>
      </c>
    </row>
    <row r="237" spans="1:19" x14ac:dyDescent="0.15">
      <c r="A237" s="1">
        <v>19430</v>
      </c>
      <c r="B237" s="6">
        <f>DATE(2012,12,31)-779</f>
        <v>40495</v>
      </c>
      <c r="C237" s="2" t="s">
        <v>917</v>
      </c>
      <c r="D237" s="1">
        <v>39</v>
      </c>
      <c r="E237" s="1">
        <v>6742.49</v>
      </c>
      <c r="F237" s="1">
        <v>0.03</v>
      </c>
      <c r="G237" s="2" t="s">
        <v>560</v>
      </c>
      <c r="H237" s="10">
        <v>-502.05</v>
      </c>
      <c r="I237" s="7">
        <v>167.27</v>
      </c>
      <c r="J237" s="7">
        <v>35</v>
      </c>
      <c r="K237" s="2" t="s">
        <v>896</v>
      </c>
      <c r="L237" s="16" t="s">
        <v>921</v>
      </c>
      <c r="M237" s="16" t="s">
        <v>921</v>
      </c>
      <c r="N237" s="2" t="s">
        <v>567</v>
      </c>
      <c r="O237" s="2" t="s">
        <v>568</v>
      </c>
      <c r="P237" s="2" t="s">
        <v>577</v>
      </c>
      <c r="Q237" s="1" t="s">
        <v>412</v>
      </c>
      <c r="R237" s="2" t="s">
        <v>590</v>
      </c>
      <c r="S237" s="8">
        <f>B237+2</f>
        <v>40497</v>
      </c>
    </row>
    <row r="238" spans="1:19" x14ac:dyDescent="0.15">
      <c r="A238" s="1">
        <v>19524</v>
      </c>
      <c r="B238" s="6">
        <f>DATE(2012,12,31)-1082</f>
        <v>40192</v>
      </c>
      <c r="C238" s="2" t="s">
        <v>917</v>
      </c>
      <c r="D238" s="1">
        <v>9</v>
      </c>
      <c r="E238" s="1">
        <v>92.02</v>
      </c>
      <c r="F238" s="1">
        <v>7.0000000000000007E-2</v>
      </c>
      <c r="G238" s="2" t="s">
        <v>560</v>
      </c>
      <c r="H238" s="10">
        <v>-24.88</v>
      </c>
      <c r="I238" s="7">
        <v>10.23</v>
      </c>
      <c r="J238" s="7">
        <v>4.68</v>
      </c>
      <c r="K238" s="2" t="s">
        <v>910</v>
      </c>
      <c r="L238" s="16" t="s">
        <v>921</v>
      </c>
      <c r="M238" s="16" t="s">
        <v>921</v>
      </c>
      <c r="N238" s="2" t="s">
        <v>567</v>
      </c>
      <c r="O238" s="2" t="s">
        <v>568</v>
      </c>
      <c r="P238" s="2" t="s">
        <v>89</v>
      </c>
      <c r="Q238" s="1" t="s">
        <v>502</v>
      </c>
      <c r="R238" s="2" t="s">
        <v>587</v>
      </c>
      <c r="S238" s="8">
        <f>B238+1</f>
        <v>40193</v>
      </c>
    </row>
    <row r="239" spans="1:19" x14ac:dyDescent="0.15">
      <c r="A239" s="1">
        <v>19556</v>
      </c>
      <c r="B239" s="6">
        <f>DATE(2012,12,31)-732</f>
        <v>40542</v>
      </c>
      <c r="C239" s="2" t="s">
        <v>915</v>
      </c>
      <c r="D239" s="1">
        <v>45</v>
      </c>
      <c r="E239" s="1">
        <v>5785.59</v>
      </c>
      <c r="F239" s="1">
        <v>7.0000000000000007E-2</v>
      </c>
      <c r="G239" s="2" t="s">
        <v>562</v>
      </c>
      <c r="H239" s="10">
        <v>-423.77</v>
      </c>
      <c r="I239" s="7">
        <v>130.97999999999999</v>
      </c>
      <c r="J239" s="7">
        <v>30</v>
      </c>
      <c r="K239" s="2" t="s">
        <v>776</v>
      </c>
      <c r="L239" s="16" t="s">
        <v>921</v>
      </c>
      <c r="M239" s="16" t="s">
        <v>921</v>
      </c>
      <c r="N239" s="2" t="s">
        <v>566</v>
      </c>
      <c r="O239" s="2" t="s">
        <v>570</v>
      </c>
      <c r="P239" s="2" t="s">
        <v>574</v>
      </c>
      <c r="Q239" s="1" t="s">
        <v>421</v>
      </c>
      <c r="R239" s="2" t="s">
        <v>586</v>
      </c>
      <c r="S239" s="8">
        <f>B239+17</f>
        <v>40559</v>
      </c>
    </row>
    <row r="240" spans="1:19" x14ac:dyDescent="0.15">
      <c r="A240" s="1">
        <v>19556</v>
      </c>
      <c r="B240" s="6">
        <f>DATE(2012,12,31)-732</f>
        <v>40542</v>
      </c>
      <c r="C240" s="2" t="s">
        <v>915</v>
      </c>
      <c r="D240" s="1">
        <v>22</v>
      </c>
      <c r="E240" s="1">
        <v>1131.93</v>
      </c>
      <c r="F240" s="1">
        <v>0.09</v>
      </c>
      <c r="G240" s="2" t="s">
        <v>560</v>
      </c>
      <c r="H240" s="10">
        <v>469.69</v>
      </c>
      <c r="I240" s="7">
        <v>55.98</v>
      </c>
      <c r="J240" s="7">
        <v>4.8600000000000003</v>
      </c>
      <c r="K240" s="2" t="s">
        <v>776</v>
      </c>
      <c r="L240" s="16" t="s">
        <v>921</v>
      </c>
      <c r="M240" s="16" t="s">
        <v>921</v>
      </c>
      <c r="N240" s="2" t="s">
        <v>566</v>
      </c>
      <c r="O240" s="2" t="s">
        <v>568</v>
      </c>
      <c r="P240" s="2" t="s">
        <v>573</v>
      </c>
      <c r="Q240" s="1" t="s">
        <v>39</v>
      </c>
      <c r="R240" s="2" t="s">
        <v>585</v>
      </c>
      <c r="S240" s="8">
        <f>B240+11</f>
        <v>40553</v>
      </c>
    </row>
    <row r="241" spans="1:19" x14ac:dyDescent="0.15">
      <c r="A241" s="1">
        <v>19556</v>
      </c>
      <c r="B241" s="6">
        <f>DATE(2012,12,31)-732</f>
        <v>40542</v>
      </c>
      <c r="C241" s="2" t="s">
        <v>915</v>
      </c>
      <c r="D241" s="1">
        <v>35</v>
      </c>
      <c r="E241" s="1">
        <v>3238.143</v>
      </c>
      <c r="F241" s="1">
        <v>0.08</v>
      </c>
      <c r="G241" s="2" t="s">
        <v>560</v>
      </c>
      <c r="H241" s="10">
        <v>727.36199999999997</v>
      </c>
      <c r="I241" s="7">
        <v>115.99</v>
      </c>
      <c r="J241" s="7">
        <v>4.2300000000000004</v>
      </c>
      <c r="K241" s="2" t="s">
        <v>776</v>
      </c>
      <c r="L241" s="16" t="s">
        <v>921</v>
      </c>
      <c r="M241" s="16" t="s">
        <v>921</v>
      </c>
      <c r="N241" s="2" t="s">
        <v>566</v>
      </c>
      <c r="O241" s="2" t="s">
        <v>569</v>
      </c>
      <c r="P241" s="2" t="s">
        <v>87</v>
      </c>
      <c r="Q241" s="1" t="s">
        <v>99</v>
      </c>
      <c r="R241" s="2" t="s">
        <v>585</v>
      </c>
      <c r="S241" s="8">
        <f>B241+28</f>
        <v>40570</v>
      </c>
    </row>
    <row r="242" spans="1:19" x14ac:dyDescent="0.15">
      <c r="A242" s="1">
        <v>19815</v>
      </c>
      <c r="B242" s="6">
        <f>DATE(2012,12,31)-1012</f>
        <v>40262</v>
      </c>
      <c r="C242" s="2" t="s">
        <v>915</v>
      </c>
      <c r="D242" s="1">
        <v>33</v>
      </c>
      <c r="E242" s="1">
        <v>167.07</v>
      </c>
      <c r="F242" s="1">
        <v>0.03</v>
      </c>
      <c r="G242" s="2" t="s">
        <v>560</v>
      </c>
      <c r="H242" s="10">
        <v>-102.36</v>
      </c>
      <c r="I242" s="7">
        <v>4.9800000000000004</v>
      </c>
      <c r="J242" s="7">
        <v>6.07</v>
      </c>
      <c r="K242" s="2" t="s">
        <v>842</v>
      </c>
      <c r="L242" s="16" t="s">
        <v>921</v>
      </c>
      <c r="M242" s="16" t="s">
        <v>921</v>
      </c>
      <c r="N242" s="2" t="s">
        <v>564</v>
      </c>
      <c r="O242" s="2" t="s">
        <v>568</v>
      </c>
      <c r="P242" s="2" t="s">
        <v>573</v>
      </c>
      <c r="Q242" s="1" t="s">
        <v>612</v>
      </c>
      <c r="R242" s="2" t="s">
        <v>585</v>
      </c>
      <c r="S242" s="8">
        <f>B242+3</f>
        <v>40265</v>
      </c>
    </row>
    <row r="243" spans="1:19" x14ac:dyDescent="0.15">
      <c r="A243" s="1">
        <v>20096</v>
      </c>
      <c r="B243" s="6">
        <f>DATE(2012,12,31)-134</f>
        <v>41140</v>
      </c>
      <c r="C243" s="2" t="s">
        <v>916</v>
      </c>
      <c r="D243" s="1">
        <v>35</v>
      </c>
      <c r="E243" s="1">
        <v>6116.11</v>
      </c>
      <c r="F243" s="1">
        <v>0.03</v>
      </c>
      <c r="G243" s="2" t="s">
        <v>562</v>
      </c>
      <c r="H243" s="10">
        <v>91.57</v>
      </c>
      <c r="I243" s="7">
        <v>179.29</v>
      </c>
      <c r="J243" s="7">
        <v>29.21</v>
      </c>
      <c r="K243" s="2" t="s">
        <v>771</v>
      </c>
      <c r="L243" s="16" t="s">
        <v>921</v>
      </c>
      <c r="M243" s="16" t="s">
        <v>921</v>
      </c>
      <c r="N243" s="2" t="s">
        <v>566</v>
      </c>
      <c r="O243" s="2" t="s">
        <v>570</v>
      </c>
      <c r="P243" s="2" t="s">
        <v>578</v>
      </c>
      <c r="Q243" s="1" t="s">
        <v>441</v>
      </c>
      <c r="R243" s="2" t="s">
        <v>588</v>
      </c>
      <c r="S243" s="8">
        <f>B243+5</f>
        <v>41145</v>
      </c>
    </row>
    <row r="244" spans="1:19" x14ac:dyDescent="0.15">
      <c r="A244" s="1">
        <v>20132</v>
      </c>
      <c r="B244" s="6">
        <f>DATE(2012,12,31)-959</f>
        <v>40315</v>
      </c>
      <c r="C244" s="2" t="s">
        <v>916</v>
      </c>
      <c r="D244" s="1">
        <v>30</v>
      </c>
      <c r="E244" s="1">
        <v>8719.69</v>
      </c>
      <c r="F244" s="1">
        <v>0.01</v>
      </c>
      <c r="G244" s="2" t="s">
        <v>562</v>
      </c>
      <c r="H244" s="10">
        <v>2241.71</v>
      </c>
      <c r="I244" s="7">
        <v>270.97000000000003</v>
      </c>
      <c r="J244" s="7">
        <v>28.06</v>
      </c>
      <c r="K244" s="2" t="s">
        <v>875</v>
      </c>
      <c r="L244" s="16" t="s">
        <v>921</v>
      </c>
      <c r="M244" s="16" t="s">
        <v>921</v>
      </c>
      <c r="N244" s="2" t="s">
        <v>566</v>
      </c>
      <c r="O244" s="2" t="s">
        <v>569</v>
      </c>
      <c r="P244" s="2" t="s">
        <v>583</v>
      </c>
      <c r="Q244" s="1" t="s">
        <v>406</v>
      </c>
      <c r="R244" s="2" t="s">
        <v>586</v>
      </c>
      <c r="S244" s="8">
        <f>B244+7</f>
        <v>40322</v>
      </c>
    </row>
    <row r="245" spans="1:19" x14ac:dyDescent="0.15">
      <c r="A245" s="1">
        <v>20225</v>
      </c>
      <c r="B245" s="6">
        <f>DATE(2012,12,31)-889</f>
        <v>40385</v>
      </c>
      <c r="C245" s="2" t="s">
        <v>916</v>
      </c>
      <c r="D245" s="1">
        <v>33</v>
      </c>
      <c r="E245" s="1">
        <v>124.78</v>
      </c>
      <c r="F245" s="1">
        <v>0.09</v>
      </c>
      <c r="G245" s="2" t="s">
        <v>560</v>
      </c>
      <c r="H245" s="10">
        <v>-122.6705</v>
      </c>
      <c r="I245" s="7">
        <v>3.98</v>
      </c>
      <c r="J245" s="7">
        <v>5.26</v>
      </c>
      <c r="K245" s="2" t="s">
        <v>904</v>
      </c>
      <c r="L245" s="16" t="s">
        <v>921</v>
      </c>
      <c r="M245" s="16" t="s">
        <v>921</v>
      </c>
      <c r="N245" s="2" t="s">
        <v>567</v>
      </c>
      <c r="O245" s="2" t="s">
        <v>568</v>
      </c>
      <c r="P245" s="2" t="s">
        <v>88</v>
      </c>
      <c r="Q245" s="1" t="s">
        <v>757</v>
      </c>
      <c r="R245" s="2" t="s">
        <v>585</v>
      </c>
      <c r="S245" s="8">
        <f>B245+7</f>
        <v>40392</v>
      </c>
    </row>
    <row r="246" spans="1:19" x14ac:dyDescent="0.15">
      <c r="A246" s="1">
        <v>20225</v>
      </c>
      <c r="B246" s="6">
        <f>DATE(2012,12,31)-889</f>
        <v>40385</v>
      </c>
      <c r="C246" s="2" t="s">
        <v>916</v>
      </c>
      <c r="D246" s="1">
        <v>22</v>
      </c>
      <c r="E246" s="1">
        <v>123.4</v>
      </c>
      <c r="F246" s="1">
        <v>0.1</v>
      </c>
      <c r="G246" s="2" t="s">
        <v>560</v>
      </c>
      <c r="H246" s="10">
        <v>30.5</v>
      </c>
      <c r="I246" s="7">
        <v>5.84</v>
      </c>
      <c r="J246" s="7">
        <v>0.83</v>
      </c>
      <c r="K246" s="2" t="s">
        <v>904</v>
      </c>
      <c r="L246" s="16" t="s">
        <v>921</v>
      </c>
      <c r="M246" s="16" t="s">
        <v>921</v>
      </c>
      <c r="N246" s="2" t="s">
        <v>567</v>
      </c>
      <c r="O246" s="2" t="s">
        <v>568</v>
      </c>
      <c r="P246" s="2" t="s">
        <v>571</v>
      </c>
      <c r="Q246" s="1" t="s">
        <v>530</v>
      </c>
      <c r="R246" s="2" t="s">
        <v>584</v>
      </c>
      <c r="S246" s="8">
        <f>B246+7</f>
        <v>40392</v>
      </c>
    </row>
    <row r="247" spans="1:19" x14ac:dyDescent="0.15">
      <c r="A247" s="1">
        <v>20325</v>
      </c>
      <c r="B247" s="6">
        <f>DATE(2012,12,31)-912</f>
        <v>40362</v>
      </c>
      <c r="C247" s="2" t="s">
        <v>917</v>
      </c>
      <c r="D247" s="1">
        <v>35</v>
      </c>
      <c r="E247" s="1">
        <v>4043.29</v>
      </c>
      <c r="F247" s="1">
        <v>0.06</v>
      </c>
      <c r="G247" s="2" t="s">
        <v>562</v>
      </c>
      <c r="H247" s="10">
        <v>-34.304099999999998</v>
      </c>
      <c r="I247" s="7">
        <v>119.99</v>
      </c>
      <c r="J247" s="7">
        <v>56.14</v>
      </c>
      <c r="K247" s="2" t="s">
        <v>833</v>
      </c>
      <c r="L247" s="16" t="s">
        <v>921</v>
      </c>
      <c r="M247" s="16" t="s">
        <v>921</v>
      </c>
      <c r="N247" s="2" t="s">
        <v>565</v>
      </c>
      <c r="O247" s="2" t="s">
        <v>569</v>
      </c>
      <c r="P247" s="2" t="s">
        <v>583</v>
      </c>
      <c r="Q247" s="1" t="s">
        <v>503</v>
      </c>
      <c r="R247" s="2" t="s">
        <v>588</v>
      </c>
      <c r="S247" s="8">
        <f>B247+2</f>
        <v>40364</v>
      </c>
    </row>
    <row r="248" spans="1:19" x14ac:dyDescent="0.15">
      <c r="A248" s="1">
        <v>20325</v>
      </c>
      <c r="B248" s="6">
        <f>DATE(2012,12,31)-912</f>
        <v>40362</v>
      </c>
      <c r="C248" s="2" t="s">
        <v>917</v>
      </c>
      <c r="D248" s="1">
        <v>24</v>
      </c>
      <c r="E248" s="1">
        <v>870.48</v>
      </c>
      <c r="F248" s="1">
        <v>7.0000000000000007E-2</v>
      </c>
      <c r="G248" s="2" t="s">
        <v>560</v>
      </c>
      <c r="H248" s="10">
        <v>104.37</v>
      </c>
      <c r="I248" s="7">
        <v>36.549999999999997</v>
      </c>
      <c r="J248" s="7">
        <v>13.89</v>
      </c>
      <c r="K248" s="2" t="s">
        <v>833</v>
      </c>
      <c r="L248" s="16" t="s">
        <v>921</v>
      </c>
      <c r="M248" s="16" t="s">
        <v>921</v>
      </c>
      <c r="N248" s="2" t="s">
        <v>565</v>
      </c>
      <c r="O248" s="2" t="s">
        <v>568</v>
      </c>
      <c r="P248" s="2" t="s">
        <v>571</v>
      </c>
      <c r="Q248" s="1" t="s">
        <v>624</v>
      </c>
      <c r="R248" s="2" t="s">
        <v>584</v>
      </c>
      <c r="S248" s="8">
        <f>B248+3</f>
        <v>40365</v>
      </c>
    </row>
    <row r="249" spans="1:19" x14ac:dyDescent="0.15">
      <c r="A249" s="1">
        <v>20450</v>
      </c>
      <c r="B249" s="6">
        <f>DATE(2012,12,31)-24</f>
        <v>41250</v>
      </c>
      <c r="C249" s="2" t="s">
        <v>917</v>
      </c>
      <c r="D249" s="1">
        <v>26</v>
      </c>
      <c r="E249" s="1">
        <v>6878.55</v>
      </c>
      <c r="F249" s="1">
        <v>0.03</v>
      </c>
      <c r="G249" s="2" t="s">
        <v>562</v>
      </c>
      <c r="H249" s="10">
        <v>506.71</v>
      </c>
      <c r="I249" s="7">
        <v>259.70999999999998</v>
      </c>
      <c r="J249" s="7">
        <v>66.67</v>
      </c>
      <c r="K249" s="2" t="s">
        <v>807</v>
      </c>
      <c r="L249" s="16" t="s">
        <v>921</v>
      </c>
      <c r="M249" s="16" t="s">
        <v>921</v>
      </c>
      <c r="N249" s="2" t="s">
        <v>564</v>
      </c>
      <c r="O249" s="2" t="s">
        <v>570</v>
      </c>
      <c r="P249" s="2" t="s">
        <v>578</v>
      </c>
      <c r="Q249" s="1" t="s">
        <v>619</v>
      </c>
      <c r="R249" s="2" t="s">
        <v>588</v>
      </c>
      <c r="S249" s="8">
        <f>B249+3</f>
        <v>41253</v>
      </c>
    </row>
    <row r="250" spans="1:19" x14ac:dyDescent="0.15">
      <c r="A250" s="1">
        <v>20519</v>
      </c>
      <c r="B250" s="6">
        <f>DATE(2012,12,31)-1361</f>
        <v>39913</v>
      </c>
      <c r="C250" s="2" t="s">
        <v>913</v>
      </c>
      <c r="D250" s="1">
        <v>7</v>
      </c>
      <c r="E250" s="1">
        <v>124.19</v>
      </c>
      <c r="F250" s="1">
        <v>0.03</v>
      </c>
      <c r="G250" s="2" t="s">
        <v>560</v>
      </c>
      <c r="H250" s="10">
        <v>-53.296199999999999</v>
      </c>
      <c r="I250" s="7">
        <v>15.99</v>
      </c>
      <c r="J250" s="7">
        <v>11.28</v>
      </c>
      <c r="K250" s="2" t="s">
        <v>838</v>
      </c>
      <c r="L250" s="16" t="s">
        <v>921</v>
      </c>
      <c r="M250" s="16" t="s">
        <v>921</v>
      </c>
      <c r="N250" s="2" t="s">
        <v>564</v>
      </c>
      <c r="O250" s="2" t="s">
        <v>569</v>
      </c>
      <c r="P250" s="2" t="s">
        <v>583</v>
      </c>
      <c r="Q250" s="1" t="s">
        <v>352</v>
      </c>
      <c r="R250" s="2" t="s">
        <v>589</v>
      </c>
      <c r="S250" s="8">
        <f>B250+1</f>
        <v>39914</v>
      </c>
    </row>
    <row r="251" spans="1:19" x14ac:dyDescent="0.15">
      <c r="A251" s="1">
        <v>20679</v>
      </c>
      <c r="B251" s="6">
        <f>DATE(2012,12,31)-870</f>
        <v>40404</v>
      </c>
      <c r="C251" s="2" t="s">
        <v>914</v>
      </c>
      <c r="D251" s="1">
        <v>32</v>
      </c>
      <c r="E251" s="1">
        <v>4976.6000000000004</v>
      </c>
      <c r="F251" s="1">
        <v>0.06</v>
      </c>
      <c r="G251" s="2" t="s">
        <v>560</v>
      </c>
      <c r="H251" s="10">
        <v>601.88</v>
      </c>
      <c r="I251" s="7">
        <v>161.55000000000001</v>
      </c>
      <c r="J251" s="7">
        <v>19.989999999999998</v>
      </c>
      <c r="K251" s="2" t="s">
        <v>839</v>
      </c>
      <c r="L251" s="16" t="s">
        <v>921</v>
      </c>
      <c r="M251" s="16" t="s">
        <v>921</v>
      </c>
      <c r="N251" s="2" t="s">
        <v>565</v>
      </c>
      <c r="O251" s="2" t="s">
        <v>568</v>
      </c>
      <c r="P251" s="2" t="s">
        <v>577</v>
      </c>
      <c r="Q251" s="1" t="s">
        <v>8</v>
      </c>
      <c r="R251" s="2" t="s">
        <v>585</v>
      </c>
      <c r="S251" s="8">
        <f>B251+0</f>
        <v>40404</v>
      </c>
    </row>
    <row r="252" spans="1:19" x14ac:dyDescent="0.15">
      <c r="A252" s="1">
        <v>20706</v>
      </c>
      <c r="B252" s="6">
        <f>DATE(2012,12,31)-1268</f>
        <v>40006</v>
      </c>
      <c r="C252" s="2" t="s">
        <v>913</v>
      </c>
      <c r="D252" s="1">
        <v>41</v>
      </c>
      <c r="E252" s="1">
        <v>5583.27</v>
      </c>
      <c r="F252" s="1">
        <v>0.04</v>
      </c>
      <c r="G252" s="2" t="s">
        <v>561</v>
      </c>
      <c r="H252" s="10">
        <v>1539.59</v>
      </c>
      <c r="I252" s="7">
        <v>136.97999999999999</v>
      </c>
      <c r="J252" s="7">
        <v>24.49</v>
      </c>
      <c r="K252" s="2" t="s">
        <v>125</v>
      </c>
      <c r="L252" s="16" t="s">
        <v>921</v>
      </c>
      <c r="M252" s="16" t="s">
        <v>921</v>
      </c>
      <c r="N252" s="2" t="s">
        <v>564</v>
      </c>
      <c r="O252" s="2" t="s">
        <v>570</v>
      </c>
      <c r="P252" s="2" t="s">
        <v>579</v>
      </c>
      <c r="Q252" s="1" t="s">
        <v>484</v>
      </c>
      <c r="R252" s="2" t="s">
        <v>590</v>
      </c>
      <c r="S252" s="8">
        <f>B252+2</f>
        <v>40008</v>
      </c>
    </row>
    <row r="253" spans="1:19" x14ac:dyDescent="0.15">
      <c r="A253" s="1">
        <v>20898</v>
      </c>
      <c r="B253" s="6">
        <f>DATE(2012,12,31)-428</f>
        <v>40846</v>
      </c>
      <c r="C253" s="2" t="s">
        <v>914</v>
      </c>
      <c r="D253" s="1">
        <v>33</v>
      </c>
      <c r="E253" s="1">
        <v>1756.5929999999998</v>
      </c>
      <c r="F253" s="1">
        <v>0.09</v>
      </c>
      <c r="G253" s="2" t="s">
        <v>560</v>
      </c>
      <c r="H253" s="10">
        <v>298.20599999999996</v>
      </c>
      <c r="I253" s="7">
        <v>65.989999999999995</v>
      </c>
      <c r="J253" s="7">
        <v>5.63</v>
      </c>
      <c r="K253" s="2" t="s">
        <v>785</v>
      </c>
      <c r="L253" s="16" t="s">
        <v>921</v>
      </c>
      <c r="M253" s="16" t="s">
        <v>921</v>
      </c>
      <c r="N253" s="2" t="s">
        <v>566</v>
      </c>
      <c r="O253" s="2" t="s">
        <v>569</v>
      </c>
      <c r="P253" s="2" t="s">
        <v>87</v>
      </c>
      <c r="Q253" s="1" t="s">
        <v>635</v>
      </c>
      <c r="R253" s="2" t="s">
        <v>585</v>
      </c>
      <c r="S253" s="8">
        <f>B253+2</f>
        <v>40848</v>
      </c>
    </row>
    <row r="254" spans="1:19" x14ac:dyDescent="0.15">
      <c r="A254" s="1">
        <v>20995</v>
      </c>
      <c r="B254" s="6">
        <f>DATE(2012,12,31)-279</f>
        <v>40995</v>
      </c>
      <c r="C254" s="2" t="s">
        <v>914</v>
      </c>
      <c r="D254" s="1">
        <v>37</v>
      </c>
      <c r="E254" s="1">
        <v>5817.88</v>
      </c>
      <c r="F254" s="1">
        <v>0.01</v>
      </c>
      <c r="G254" s="2" t="s">
        <v>562</v>
      </c>
      <c r="H254" s="10">
        <v>-567.14</v>
      </c>
      <c r="I254" s="7">
        <v>150.97999999999999</v>
      </c>
      <c r="J254" s="7">
        <v>66.27</v>
      </c>
      <c r="K254" s="2" t="s">
        <v>895</v>
      </c>
      <c r="L254" s="16" t="s">
        <v>921</v>
      </c>
      <c r="M254" s="16" t="s">
        <v>921</v>
      </c>
      <c r="N254" s="2" t="s">
        <v>566</v>
      </c>
      <c r="O254" s="2" t="s">
        <v>570</v>
      </c>
      <c r="P254" s="2" t="s">
        <v>581</v>
      </c>
      <c r="Q254" s="1" t="s">
        <v>501</v>
      </c>
      <c r="R254" s="2" t="s">
        <v>588</v>
      </c>
      <c r="S254" s="8">
        <f>B254+1</f>
        <v>40996</v>
      </c>
    </row>
    <row r="255" spans="1:19" x14ac:dyDescent="0.15">
      <c r="A255" s="1">
        <v>21159</v>
      </c>
      <c r="B255" s="6">
        <f>DATE(2012,12,31)-573</f>
        <v>40701</v>
      </c>
      <c r="C255" s="2" t="s">
        <v>916</v>
      </c>
      <c r="D255" s="1">
        <v>5</v>
      </c>
      <c r="E255" s="1">
        <v>20.28</v>
      </c>
      <c r="F255" s="1">
        <v>0.05</v>
      </c>
      <c r="G255" s="2" t="s">
        <v>561</v>
      </c>
      <c r="H255" s="10">
        <v>-4.32</v>
      </c>
      <c r="I255" s="7">
        <v>2.98</v>
      </c>
      <c r="J255" s="7">
        <v>2.0299999999999998</v>
      </c>
      <c r="K255" s="2" t="s">
        <v>793</v>
      </c>
      <c r="L255" s="16" t="s">
        <v>921</v>
      </c>
      <c r="M255" s="16" t="s">
        <v>921</v>
      </c>
      <c r="N255" s="2" t="s">
        <v>566</v>
      </c>
      <c r="O255" s="2" t="s">
        <v>568</v>
      </c>
      <c r="P255" s="2" t="s">
        <v>571</v>
      </c>
      <c r="Q255" s="1" t="s">
        <v>133</v>
      </c>
      <c r="R255" s="2" t="s">
        <v>584</v>
      </c>
      <c r="S255" s="8">
        <f>B255+4</f>
        <v>40705</v>
      </c>
    </row>
    <row r="256" spans="1:19" x14ac:dyDescent="0.15">
      <c r="A256" s="1">
        <v>21191</v>
      </c>
      <c r="B256" s="6">
        <f>DATE(2012,12,31)-47</f>
        <v>41227</v>
      </c>
      <c r="C256" s="2" t="s">
        <v>913</v>
      </c>
      <c r="D256" s="1">
        <v>48</v>
      </c>
      <c r="E256" s="1">
        <v>7235.83</v>
      </c>
      <c r="F256" s="1">
        <v>0.01</v>
      </c>
      <c r="G256" s="2" t="s">
        <v>560</v>
      </c>
      <c r="H256" s="10">
        <v>3496.37</v>
      </c>
      <c r="I256" s="7">
        <v>140.99</v>
      </c>
      <c r="J256" s="7">
        <v>13.99</v>
      </c>
      <c r="K256" s="2" t="s">
        <v>884</v>
      </c>
      <c r="L256" s="16" t="s">
        <v>921</v>
      </c>
      <c r="M256" s="16" t="s">
        <v>921</v>
      </c>
      <c r="N256" s="2" t="s">
        <v>564</v>
      </c>
      <c r="O256" s="2" t="s">
        <v>569</v>
      </c>
      <c r="P256" s="2" t="s">
        <v>583</v>
      </c>
      <c r="Q256" s="1" t="s">
        <v>516</v>
      </c>
      <c r="R256" s="2" t="s">
        <v>589</v>
      </c>
      <c r="S256" s="8">
        <f>B256+0</f>
        <v>41227</v>
      </c>
    </row>
    <row r="257" spans="1:19" x14ac:dyDescent="0.15">
      <c r="A257" s="1">
        <v>21286</v>
      </c>
      <c r="B257" s="6">
        <f>DATE(2012,12,31)-1325</f>
        <v>39949</v>
      </c>
      <c r="C257" s="2" t="s">
        <v>917</v>
      </c>
      <c r="D257" s="1">
        <v>17</v>
      </c>
      <c r="E257" s="1">
        <v>280.39</v>
      </c>
      <c r="F257" s="1">
        <v>0</v>
      </c>
      <c r="G257" s="2" t="s">
        <v>561</v>
      </c>
      <c r="H257" s="10">
        <v>9.33</v>
      </c>
      <c r="I257" s="7">
        <v>14.42</v>
      </c>
      <c r="J257" s="7">
        <v>6.75</v>
      </c>
      <c r="K257" s="2" t="s">
        <v>808</v>
      </c>
      <c r="L257" s="16" t="s">
        <v>921</v>
      </c>
      <c r="M257" s="16" t="s">
        <v>921</v>
      </c>
      <c r="N257" s="2" t="s">
        <v>565</v>
      </c>
      <c r="O257" s="2" t="s">
        <v>568</v>
      </c>
      <c r="P257" s="2" t="s">
        <v>576</v>
      </c>
      <c r="Q257" s="1" t="s">
        <v>450</v>
      </c>
      <c r="R257" s="2" t="s">
        <v>589</v>
      </c>
      <c r="S257" s="8">
        <f>B257+1</f>
        <v>39950</v>
      </c>
    </row>
    <row r="258" spans="1:19" x14ac:dyDescent="0.15">
      <c r="A258" s="1">
        <v>21346</v>
      </c>
      <c r="B258" s="6">
        <f>DATE(2012,12,31)-573</f>
        <v>40701</v>
      </c>
      <c r="C258" s="2" t="s">
        <v>913</v>
      </c>
      <c r="D258" s="1">
        <v>46</v>
      </c>
      <c r="E258" s="1">
        <v>400.49</v>
      </c>
      <c r="F258" s="1">
        <v>0.09</v>
      </c>
      <c r="G258" s="2" t="s">
        <v>560</v>
      </c>
      <c r="H258" s="10">
        <v>-237.89</v>
      </c>
      <c r="I258" s="7">
        <v>9.06</v>
      </c>
      <c r="J258" s="7">
        <v>9.86</v>
      </c>
      <c r="K258" s="2" t="s">
        <v>793</v>
      </c>
      <c r="L258" s="16" t="s">
        <v>921</v>
      </c>
      <c r="M258" s="16" t="s">
        <v>921</v>
      </c>
      <c r="N258" s="2" t="s">
        <v>566</v>
      </c>
      <c r="O258" s="2" t="s">
        <v>568</v>
      </c>
      <c r="P258" s="2" t="s">
        <v>573</v>
      </c>
      <c r="Q258" s="1" t="s">
        <v>194</v>
      </c>
      <c r="R258" s="2" t="s">
        <v>585</v>
      </c>
      <c r="S258" s="8">
        <f>B258+0</f>
        <v>40701</v>
      </c>
    </row>
    <row r="259" spans="1:19" x14ac:dyDescent="0.15">
      <c r="A259" s="1">
        <v>21475</v>
      </c>
      <c r="B259" s="6">
        <f>DATE(2012,12,31)-680</f>
        <v>40594</v>
      </c>
      <c r="C259" s="2" t="s">
        <v>917</v>
      </c>
      <c r="D259" s="1">
        <v>39</v>
      </c>
      <c r="E259" s="1">
        <v>538.14</v>
      </c>
      <c r="F259" s="1">
        <v>0.06</v>
      </c>
      <c r="G259" s="2" t="s">
        <v>560</v>
      </c>
      <c r="H259" s="10">
        <v>111.42</v>
      </c>
      <c r="I259" s="7">
        <v>14.48</v>
      </c>
      <c r="J259" s="7">
        <v>1.99</v>
      </c>
      <c r="K259" s="2" t="s">
        <v>829</v>
      </c>
      <c r="L259" s="16" t="s">
        <v>921</v>
      </c>
      <c r="M259" s="16" t="s">
        <v>921</v>
      </c>
      <c r="N259" s="2" t="s">
        <v>566</v>
      </c>
      <c r="O259" s="2" t="s">
        <v>569</v>
      </c>
      <c r="P259" s="2" t="s">
        <v>572</v>
      </c>
      <c r="Q259" s="1" t="s">
        <v>388</v>
      </c>
      <c r="R259" s="2" t="s">
        <v>587</v>
      </c>
      <c r="S259" s="8">
        <f>B259+2</f>
        <v>40596</v>
      </c>
    </row>
    <row r="260" spans="1:19" x14ac:dyDescent="0.15">
      <c r="A260" s="1">
        <v>21475</v>
      </c>
      <c r="B260" s="6">
        <f>DATE(2012,12,31)-680</f>
        <v>40594</v>
      </c>
      <c r="C260" s="2" t="s">
        <v>917</v>
      </c>
      <c r="D260" s="1">
        <v>15</v>
      </c>
      <c r="E260" s="1">
        <v>4956.7839999999997</v>
      </c>
      <c r="F260" s="1">
        <v>0.06</v>
      </c>
      <c r="G260" s="2" t="s">
        <v>562</v>
      </c>
      <c r="H260" s="10">
        <v>-296.06</v>
      </c>
      <c r="I260" s="7">
        <v>417.4</v>
      </c>
      <c r="J260" s="7">
        <v>75.23</v>
      </c>
      <c r="K260" s="2" t="s">
        <v>829</v>
      </c>
      <c r="L260" s="16" t="s">
        <v>921</v>
      </c>
      <c r="M260" s="16" t="s">
        <v>921</v>
      </c>
      <c r="N260" s="2" t="s">
        <v>566</v>
      </c>
      <c r="O260" s="2" t="s">
        <v>570</v>
      </c>
      <c r="P260" s="2" t="s">
        <v>578</v>
      </c>
      <c r="Q260" s="1" t="s">
        <v>265</v>
      </c>
      <c r="R260" s="2" t="s">
        <v>588</v>
      </c>
      <c r="S260" s="8">
        <f>B260+1</f>
        <v>40595</v>
      </c>
    </row>
    <row r="261" spans="1:19" x14ac:dyDescent="0.15">
      <c r="A261" s="1">
        <v>21539</v>
      </c>
      <c r="B261" s="6">
        <f>DATE(2012,12,31)-906</f>
        <v>40368</v>
      </c>
      <c r="C261" s="2" t="s">
        <v>914</v>
      </c>
      <c r="D261" s="1">
        <v>18</v>
      </c>
      <c r="E261" s="1">
        <v>388.13</v>
      </c>
      <c r="F261" s="1">
        <v>0.04</v>
      </c>
      <c r="G261" s="2" t="s">
        <v>560</v>
      </c>
      <c r="H261" s="10">
        <v>40.11</v>
      </c>
      <c r="I261" s="7">
        <v>21.98</v>
      </c>
      <c r="J261" s="7">
        <v>8.32</v>
      </c>
      <c r="K261" s="2" t="s">
        <v>770</v>
      </c>
      <c r="L261" s="16" t="s">
        <v>921</v>
      </c>
      <c r="M261" s="16" t="s">
        <v>921</v>
      </c>
      <c r="N261" s="2" t="s">
        <v>566</v>
      </c>
      <c r="O261" s="2" t="s">
        <v>568</v>
      </c>
      <c r="P261" s="2" t="s">
        <v>573</v>
      </c>
      <c r="Q261" s="1" t="s">
        <v>625</v>
      </c>
      <c r="R261" s="2" t="s">
        <v>584</v>
      </c>
      <c r="S261" s="8">
        <f>B261+1</f>
        <v>40369</v>
      </c>
    </row>
    <row r="262" spans="1:19" x14ac:dyDescent="0.15">
      <c r="A262" s="1">
        <v>21539</v>
      </c>
      <c r="B262" s="6">
        <f>DATE(2012,12,31)-906</f>
        <v>40368</v>
      </c>
      <c r="C262" s="2" t="s">
        <v>914</v>
      </c>
      <c r="D262" s="1">
        <v>39</v>
      </c>
      <c r="E262" s="1">
        <v>2339.84</v>
      </c>
      <c r="F262" s="1">
        <v>0.05</v>
      </c>
      <c r="G262" s="2" t="s">
        <v>560</v>
      </c>
      <c r="H262" s="10">
        <v>-1730.3</v>
      </c>
      <c r="I262" s="7">
        <v>71.37</v>
      </c>
      <c r="J262" s="7">
        <v>69</v>
      </c>
      <c r="K262" s="2" t="s">
        <v>770</v>
      </c>
      <c r="L262" s="16" t="s">
        <v>921</v>
      </c>
      <c r="M262" s="16" t="s">
        <v>921</v>
      </c>
      <c r="N262" s="2" t="s">
        <v>566</v>
      </c>
      <c r="O262" s="2" t="s">
        <v>570</v>
      </c>
      <c r="P262" s="2" t="s">
        <v>578</v>
      </c>
      <c r="Q262" s="1" t="s">
        <v>716</v>
      </c>
      <c r="R262" s="2" t="s">
        <v>590</v>
      </c>
      <c r="S262" s="8">
        <f>B262+0</f>
        <v>40368</v>
      </c>
    </row>
    <row r="263" spans="1:19" x14ac:dyDescent="0.15">
      <c r="A263" s="1">
        <v>21639</v>
      </c>
      <c r="B263" s="6">
        <f>DATE(2012,12,31)-698</f>
        <v>40576</v>
      </c>
      <c r="C263" s="2" t="s">
        <v>915</v>
      </c>
      <c r="D263" s="1">
        <v>24</v>
      </c>
      <c r="E263" s="1">
        <v>145.15</v>
      </c>
      <c r="F263" s="1">
        <v>7.0000000000000007E-2</v>
      </c>
      <c r="G263" s="2" t="s">
        <v>560</v>
      </c>
      <c r="H263" s="10">
        <v>-169.16499999999999</v>
      </c>
      <c r="I263" s="7">
        <v>5.94</v>
      </c>
      <c r="J263" s="7">
        <v>9.92</v>
      </c>
      <c r="K263" s="2" t="s">
        <v>861</v>
      </c>
      <c r="L263" s="16" t="s">
        <v>921</v>
      </c>
      <c r="M263" s="16" t="s">
        <v>921</v>
      </c>
      <c r="N263" s="2" t="s">
        <v>564</v>
      </c>
      <c r="O263" s="2" t="s">
        <v>568</v>
      </c>
      <c r="P263" s="2" t="s">
        <v>88</v>
      </c>
      <c r="Q263" s="1" t="s">
        <v>376</v>
      </c>
      <c r="R263" s="2" t="s">
        <v>585</v>
      </c>
      <c r="S263" s="8">
        <f>B263+2</f>
        <v>40578</v>
      </c>
    </row>
    <row r="264" spans="1:19" x14ac:dyDescent="0.15">
      <c r="A264" s="1">
        <v>21639</v>
      </c>
      <c r="B264" s="6">
        <f>DATE(2012,12,31)-698</f>
        <v>40576</v>
      </c>
      <c r="C264" s="2" t="s">
        <v>915</v>
      </c>
      <c r="D264" s="1">
        <v>3</v>
      </c>
      <c r="E264" s="1">
        <v>131.5</v>
      </c>
      <c r="F264" s="1">
        <v>0.01</v>
      </c>
      <c r="G264" s="2" t="s">
        <v>560</v>
      </c>
      <c r="H264" s="10">
        <v>105.9</v>
      </c>
      <c r="I264" s="7">
        <v>39.979999999999997</v>
      </c>
      <c r="J264" s="7">
        <v>9.1999999999999993</v>
      </c>
      <c r="K264" s="2" t="s">
        <v>861</v>
      </c>
      <c r="L264" s="16" t="s">
        <v>921</v>
      </c>
      <c r="M264" s="16" t="s">
        <v>921</v>
      </c>
      <c r="N264" s="2" t="s">
        <v>564</v>
      </c>
      <c r="O264" s="2" t="s">
        <v>570</v>
      </c>
      <c r="P264" s="2" t="s">
        <v>579</v>
      </c>
      <c r="Q264" s="1" t="s">
        <v>15</v>
      </c>
      <c r="R264" s="2" t="s">
        <v>584</v>
      </c>
      <c r="S264" s="8">
        <f>B264+1</f>
        <v>40577</v>
      </c>
    </row>
    <row r="265" spans="1:19" x14ac:dyDescent="0.15">
      <c r="A265" s="1">
        <v>21639</v>
      </c>
      <c r="B265" s="6">
        <f>DATE(2012,12,31)-698</f>
        <v>40576</v>
      </c>
      <c r="C265" s="2" t="s">
        <v>915</v>
      </c>
      <c r="D265" s="1">
        <v>38</v>
      </c>
      <c r="E265" s="1">
        <v>7814.59</v>
      </c>
      <c r="F265" s="1">
        <v>0.02</v>
      </c>
      <c r="G265" s="2" t="s">
        <v>560</v>
      </c>
      <c r="H265" s="10">
        <v>3408.46</v>
      </c>
      <c r="I265" s="7">
        <v>194.3</v>
      </c>
      <c r="J265" s="7">
        <v>11.54</v>
      </c>
      <c r="K265" s="2" t="s">
        <v>861</v>
      </c>
      <c r="L265" s="16" t="s">
        <v>921</v>
      </c>
      <c r="M265" s="16" t="s">
        <v>921</v>
      </c>
      <c r="N265" s="2" t="s">
        <v>564</v>
      </c>
      <c r="O265" s="2" t="s">
        <v>570</v>
      </c>
      <c r="P265" s="2" t="s">
        <v>579</v>
      </c>
      <c r="Q265" s="1" t="s">
        <v>735</v>
      </c>
      <c r="R265" s="2" t="s">
        <v>590</v>
      </c>
      <c r="S265" s="8">
        <f>B265+0</f>
        <v>40576</v>
      </c>
    </row>
    <row r="266" spans="1:19" x14ac:dyDescent="0.15">
      <c r="A266" s="1">
        <v>21639</v>
      </c>
      <c r="B266" s="6">
        <f>DATE(2012,12,31)-698</f>
        <v>40576</v>
      </c>
      <c r="C266" s="2" t="s">
        <v>915</v>
      </c>
      <c r="D266" s="1">
        <v>23</v>
      </c>
      <c r="E266" s="1">
        <v>158.99</v>
      </c>
      <c r="F266" s="1">
        <v>7.0000000000000007E-2</v>
      </c>
      <c r="G266" s="2" t="s">
        <v>560</v>
      </c>
      <c r="H266" s="10">
        <v>-197.13</v>
      </c>
      <c r="I266" s="7">
        <v>6.98</v>
      </c>
      <c r="J266" s="7">
        <v>9.69</v>
      </c>
      <c r="K266" s="2" t="s">
        <v>861</v>
      </c>
      <c r="L266" s="16" t="s">
        <v>921</v>
      </c>
      <c r="M266" s="16" t="s">
        <v>921</v>
      </c>
      <c r="N266" s="2" t="s">
        <v>564</v>
      </c>
      <c r="O266" s="2" t="s">
        <v>568</v>
      </c>
      <c r="P266" s="2" t="s">
        <v>577</v>
      </c>
      <c r="Q266" s="1" t="s">
        <v>458</v>
      </c>
      <c r="R266" s="2" t="s">
        <v>585</v>
      </c>
      <c r="S266" s="8">
        <f>B266+0</f>
        <v>40576</v>
      </c>
    </row>
    <row r="267" spans="1:19" x14ac:dyDescent="0.15">
      <c r="A267" s="1">
        <v>21760</v>
      </c>
      <c r="B267" s="6">
        <f>DATE(2012,12,31)-701</f>
        <v>40573</v>
      </c>
      <c r="C267" s="2" t="s">
        <v>915</v>
      </c>
      <c r="D267" s="1">
        <v>9</v>
      </c>
      <c r="E267" s="1">
        <v>71.2</v>
      </c>
      <c r="F267" s="1">
        <v>0.08</v>
      </c>
      <c r="G267" s="2" t="s">
        <v>560</v>
      </c>
      <c r="H267" s="10">
        <v>1.87</v>
      </c>
      <c r="I267" s="7">
        <v>7.38</v>
      </c>
      <c r="J267" s="7">
        <v>5.21</v>
      </c>
      <c r="K267" s="2" t="s">
        <v>805</v>
      </c>
      <c r="L267" s="16" t="s">
        <v>921</v>
      </c>
      <c r="M267" s="16" t="s">
        <v>921</v>
      </c>
      <c r="N267" s="2" t="s">
        <v>564</v>
      </c>
      <c r="O267" s="2" t="s">
        <v>570</v>
      </c>
      <c r="P267" s="2" t="s">
        <v>579</v>
      </c>
      <c r="Q267" s="1" t="s">
        <v>405</v>
      </c>
      <c r="R267" s="2" t="s">
        <v>585</v>
      </c>
      <c r="S267" s="8">
        <f>B267+1</f>
        <v>40574</v>
      </c>
    </row>
    <row r="268" spans="1:19" x14ac:dyDescent="0.15">
      <c r="A268" s="1">
        <v>21827</v>
      </c>
      <c r="B268" s="6">
        <f>DATE(2012,12,31)-52</f>
        <v>41222</v>
      </c>
      <c r="C268" s="2" t="s">
        <v>915</v>
      </c>
      <c r="D268" s="1">
        <v>25</v>
      </c>
      <c r="E268" s="1">
        <v>1351.78</v>
      </c>
      <c r="F268" s="1">
        <v>0.06</v>
      </c>
      <c r="G268" s="2" t="s">
        <v>560</v>
      </c>
      <c r="H268" s="10">
        <v>109.92</v>
      </c>
      <c r="I268" s="7">
        <v>56.96</v>
      </c>
      <c r="J268" s="7">
        <v>13.22</v>
      </c>
      <c r="K268" s="2" t="s">
        <v>403</v>
      </c>
      <c r="L268" s="16" t="s">
        <v>921</v>
      </c>
      <c r="M268" s="16" t="s">
        <v>921</v>
      </c>
      <c r="N268" s="2" t="s">
        <v>567</v>
      </c>
      <c r="O268" s="2" t="s">
        <v>568</v>
      </c>
      <c r="P268" s="2" t="s">
        <v>576</v>
      </c>
      <c r="Q268" s="1" t="s">
        <v>621</v>
      </c>
      <c r="R268" s="2" t="s">
        <v>585</v>
      </c>
      <c r="S268" s="8">
        <f>B268+2</f>
        <v>41224</v>
      </c>
    </row>
    <row r="269" spans="1:19" x14ac:dyDescent="0.15">
      <c r="A269" s="1">
        <v>21827</v>
      </c>
      <c r="B269" s="6">
        <f>DATE(2012,12,31)-52</f>
        <v>41222</v>
      </c>
      <c r="C269" s="2" t="s">
        <v>915</v>
      </c>
      <c r="D269" s="1">
        <v>21</v>
      </c>
      <c r="E269" s="1">
        <v>1560.96</v>
      </c>
      <c r="F269" s="1">
        <v>7.0000000000000007E-2</v>
      </c>
      <c r="G269" s="2" t="s">
        <v>561</v>
      </c>
      <c r="H269" s="10">
        <v>-120.27</v>
      </c>
      <c r="I269" s="7">
        <v>73.98</v>
      </c>
      <c r="J269" s="7">
        <v>4</v>
      </c>
      <c r="K269" s="2" t="s">
        <v>403</v>
      </c>
      <c r="L269" s="16" t="s">
        <v>921</v>
      </c>
      <c r="M269" s="16" t="s">
        <v>921</v>
      </c>
      <c r="N269" s="2" t="s">
        <v>567</v>
      </c>
      <c r="O269" s="2" t="s">
        <v>569</v>
      </c>
      <c r="P269" s="2" t="s">
        <v>572</v>
      </c>
      <c r="Q269" s="1" t="s">
        <v>705</v>
      </c>
      <c r="R269" s="2" t="s">
        <v>585</v>
      </c>
      <c r="S269" s="8">
        <f>B269+1</f>
        <v>41223</v>
      </c>
    </row>
    <row r="270" spans="1:19" x14ac:dyDescent="0.15">
      <c r="A270" s="1">
        <v>21890</v>
      </c>
      <c r="B270" s="6">
        <f>DATE(2012,12,31)-707</f>
        <v>40567</v>
      </c>
      <c r="C270" s="2" t="s">
        <v>915</v>
      </c>
      <c r="D270" s="1">
        <v>44</v>
      </c>
      <c r="E270" s="1">
        <v>495.5</v>
      </c>
      <c r="F270" s="1">
        <v>0.06</v>
      </c>
      <c r="G270" s="2" t="s">
        <v>560</v>
      </c>
      <c r="H270" s="10">
        <v>-12.67</v>
      </c>
      <c r="I270" s="7">
        <v>11.58</v>
      </c>
      <c r="J270" s="7">
        <v>6.97</v>
      </c>
      <c r="K270" s="2" t="s">
        <v>910</v>
      </c>
      <c r="L270" s="16" t="s">
        <v>921</v>
      </c>
      <c r="M270" s="16" t="s">
        <v>921</v>
      </c>
      <c r="N270" s="2" t="s">
        <v>565</v>
      </c>
      <c r="O270" s="2" t="s">
        <v>568</v>
      </c>
      <c r="P270" s="2" t="s">
        <v>575</v>
      </c>
      <c r="Q270" s="1" t="s">
        <v>57</v>
      </c>
      <c r="R270" s="2" t="s">
        <v>585</v>
      </c>
      <c r="S270" s="8">
        <f>B270+2</f>
        <v>40569</v>
      </c>
    </row>
    <row r="271" spans="1:19" x14ac:dyDescent="0.15">
      <c r="A271" s="1">
        <v>21927</v>
      </c>
      <c r="B271" s="6">
        <f>DATE(2012,12,31)-387</f>
        <v>40887</v>
      </c>
      <c r="C271" s="2" t="s">
        <v>913</v>
      </c>
      <c r="D271" s="1">
        <v>23</v>
      </c>
      <c r="E271" s="1">
        <v>8225.24</v>
      </c>
      <c r="F271" s="1">
        <v>0.06</v>
      </c>
      <c r="G271" s="2" t="s">
        <v>562</v>
      </c>
      <c r="H271" s="10">
        <v>1909.03</v>
      </c>
      <c r="I271" s="7">
        <v>350.98</v>
      </c>
      <c r="J271" s="7">
        <v>30</v>
      </c>
      <c r="K271" s="2" t="s">
        <v>842</v>
      </c>
      <c r="L271" s="16" t="s">
        <v>921</v>
      </c>
      <c r="M271" s="16" t="s">
        <v>921</v>
      </c>
      <c r="N271" s="2" t="s">
        <v>564</v>
      </c>
      <c r="O271" s="2" t="s">
        <v>570</v>
      </c>
      <c r="P271" s="2" t="s">
        <v>574</v>
      </c>
      <c r="Q271" s="1" t="s">
        <v>610</v>
      </c>
      <c r="R271" s="2" t="s">
        <v>586</v>
      </c>
      <c r="S271" s="8">
        <f>B271+1</f>
        <v>40888</v>
      </c>
    </row>
    <row r="272" spans="1:19" x14ac:dyDescent="0.15">
      <c r="A272" s="1">
        <v>21988</v>
      </c>
      <c r="B272" s="6">
        <f>DATE(2012,12,31)-1009</f>
        <v>40265</v>
      </c>
      <c r="C272" s="2" t="s">
        <v>914</v>
      </c>
      <c r="D272" s="1">
        <v>4</v>
      </c>
      <c r="E272" s="1">
        <v>1337.19</v>
      </c>
      <c r="F272" s="1">
        <v>0.06</v>
      </c>
      <c r="G272" s="2" t="s">
        <v>562</v>
      </c>
      <c r="H272" s="10">
        <v>-431.45</v>
      </c>
      <c r="I272" s="7">
        <v>328.14</v>
      </c>
      <c r="J272" s="7">
        <v>91.05</v>
      </c>
      <c r="K272" s="2" t="s">
        <v>873</v>
      </c>
      <c r="L272" s="16" t="s">
        <v>921</v>
      </c>
      <c r="M272" s="16" t="s">
        <v>921</v>
      </c>
      <c r="N272" s="2" t="s">
        <v>567</v>
      </c>
      <c r="O272" s="2" t="s">
        <v>568</v>
      </c>
      <c r="P272" s="2" t="s">
        <v>576</v>
      </c>
      <c r="Q272" s="1" t="s">
        <v>310</v>
      </c>
      <c r="R272" s="2" t="s">
        <v>586</v>
      </c>
      <c r="S272" s="8">
        <f>B272+2</f>
        <v>40267</v>
      </c>
    </row>
    <row r="273" spans="1:19" x14ac:dyDescent="0.15">
      <c r="A273" s="1">
        <v>22083</v>
      </c>
      <c r="B273" s="6">
        <f>DATE(2012,12,31)-1413</f>
        <v>39861</v>
      </c>
      <c r="C273" s="2" t="s">
        <v>917</v>
      </c>
      <c r="D273" s="1">
        <v>2</v>
      </c>
      <c r="E273" s="1">
        <v>16.809999999999999</v>
      </c>
      <c r="F273" s="1">
        <v>0.05</v>
      </c>
      <c r="G273" s="2" t="s">
        <v>561</v>
      </c>
      <c r="H273" s="10">
        <v>-4.1399999999999997</v>
      </c>
      <c r="I273" s="7">
        <v>6.04</v>
      </c>
      <c r="J273" s="7">
        <v>2.14</v>
      </c>
      <c r="K273" s="2" t="s">
        <v>906</v>
      </c>
      <c r="L273" s="16" t="s">
        <v>921</v>
      </c>
      <c r="M273" s="16" t="s">
        <v>921</v>
      </c>
      <c r="N273" s="2" t="s">
        <v>567</v>
      </c>
      <c r="O273" s="2" t="s">
        <v>568</v>
      </c>
      <c r="P273" s="2" t="s">
        <v>573</v>
      </c>
      <c r="Q273" s="1" t="s">
        <v>656</v>
      </c>
      <c r="R273" s="2" t="s">
        <v>584</v>
      </c>
      <c r="S273" s="8">
        <f>B273+2</f>
        <v>39863</v>
      </c>
    </row>
    <row r="274" spans="1:19" x14ac:dyDescent="0.15">
      <c r="A274" s="1">
        <v>22402</v>
      </c>
      <c r="B274" s="6">
        <f>DATE(2012,12,31)-1314</f>
        <v>39960</v>
      </c>
      <c r="C274" s="2" t="s">
        <v>917</v>
      </c>
      <c r="D274" s="1">
        <v>33</v>
      </c>
      <c r="E274" s="1">
        <v>1194.3399999999999</v>
      </c>
      <c r="F274" s="1">
        <v>0.04</v>
      </c>
      <c r="G274" s="2" t="s">
        <v>560</v>
      </c>
      <c r="H274" s="10">
        <v>497.11400000000003</v>
      </c>
      <c r="I274" s="7">
        <v>37.700000000000003</v>
      </c>
      <c r="J274" s="7">
        <v>2.99</v>
      </c>
      <c r="K274" s="2" t="s">
        <v>838</v>
      </c>
      <c r="L274" s="16" t="s">
        <v>921</v>
      </c>
      <c r="M274" s="16" t="s">
        <v>921</v>
      </c>
      <c r="N274" s="2" t="s">
        <v>564</v>
      </c>
      <c r="O274" s="2" t="s">
        <v>568</v>
      </c>
      <c r="P274" s="2" t="s">
        <v>88</v>
      </c>
      <c r="Q274" s="1" t="s">
        <v>743</v>
      </c>
      <c r="R274" s="2" t="s">
        <v>585</v>
      </c>
      <c r="S274" s="8">
        <f>B274+1</f>
        <v>39961</v>
      </c>
    </row>
    <row r="275" spans="1:19" x14ac:dyDescent="0.15">
      <c r="A275" s="1">
        <v>22402</v>
      </c>
      <c r="B275" s="6">
        <f>DATE(2012,12,31)-1314</f>
        <v>39960</v>
      </c>
      <c r="C275" s="2" t="s">
        <v>917</v>
      </c>
      <c r="D275" s="1">
        <v>1</v>
      </c>
      <c r="E275" s="1">
        <v>51.832999999999998</v>
      </c>
      <c r="F275" s="1">
        <v>0.01</v>
      </c>
      <c r="G275" s="2" t="s">
        <v>560</v>
      </c>
      <c r="H275" s="10">
        <v>-235.89500000000001</v>
      </c>
      <c r="I275" s="7">
        <v>55.99</v>
      </c>
      <c r="J275" s="7">
        <v>5</v>
      </c>
      <c r="K275" s="2" t="s">
        <v>838</v>
      </c>
      <c r="L275" s="16" t="s">
        <v>921</v>
      </c>
      <c r="M275" s="16" t="s">
        <v>921</v>
      </c>
      <c r="N275" s="2" t="s">
        <v>564</v>
      </c>
      <c r="O275" s="2" t="s">
        <v>569</v>
      </c>
      <c r="P275" s="2" t="s">
        <v>87</v>
      </c>
      <c r="Q275" s="1" t="s">
        <v>257</v>
      </c>
      <c r="R275" s="2" t="s">
        <v>587</v>
      </c>
      <c r="S275" s="8">
        <f>B275+1</f>
        <v>39961</v>
      </c>
    </row>
    <row r="276" spans="1:19" x14ac:dyDescent="0.15">
      <c r="A276" s="1">
        <v>22433</v>
      </c>
      <c r="B276" s="6">
        <f>DATE(2012,12,31)-669</f>
        <v>40605</v>
      </c>
      <c r="C276" s="2" t="s">
        <v>917</v>
      </c>
      <c r="D276" s="1">
        <v>44</v>
      </c>
      <c r="E276" s="1">
        <v>797.98</v>
      </c>
      <c r="F276" s="1">
        <v>0.05</v>
      </c>
      <c r="G276" s="2" t="s">
        <v>560</v>
      </c>
      <c r="H276" s="10">
        <v>237.47400000000002</v>
      </c>
      <c r="I276" s="7">
        <v>20.99</v>
      </c>
      <c r="J276" s="7">
        <v>0.99</v>
      </c>
      <c r="K276" s="2" t="s">
        <v>802</v>
      </c>
      <c r="L276" s="16" t="s">
        <v>921</v>
      </c>
      <c r="M276" s="16" t="s">
        <v>921</v>
      </c>
      <c r="N276" s="2" t="s">
        <v>564</v>
      </c>
      <c r="O276" s="2" t="s">
        <v>569</v>
      </c>
      <c r="P276" s="2" t="s">
        <v>87</v>
      </c>
      <c r="Q276" s="1" t="s">
        <v>216</v>
      </c>
      <c r="R276" s="2" t="s">
        <v>584</v>
      </c>
      <c r="S276" s="8">
        <f>B276+2</f>
        <v>40607</v>
      </c>
    </row>
    <row r="277" spans="1:19" x14ac:dyDescent="0.15">
      <c r="A277" s="1">
        <v>22465</v>
      </c>
      <c r="B277" s="6">
        <f>DATE(2012,12,31)-163</f>
        <v>41111</v>
      </c>
      <c r="C277" s="2" t="s">
        <v>915</v>
      </c>
      <c r="D277" s="1">
        <v>4</v>
      </c>
      <c r="E277" s="1">
        <v>1121.78</v>
      </c>
      <c r="F277" s="1">
        <v>0.04</v>
      </c>
      <c r="G277" s="2" t="s">
        <v>562</v>
      </c>
      <c r="H277" s="10">
        <v>-454.8</v>
      </c>
      <c r="I277" s="7">
        <v>270.98</v>
      </c>
      <c r="J277" s="7">
        <v>50</v>
      </c>
      <c r="K277" s="2" t="s">
        <v>849</v>
      </c>
      <c r="L277" s="16" t="s">
        <v>921</v>
      </c>
      <c r="M277" s="16" t="s">
        <v>921</v>
      </c>
      <c r="N277" s="2" t="s">
        <v>564</v>
      </c>
      <c r="O277" s="2" t="s">
        <v>570</v>
      </c>
      <c r="P277" s="2" t="s">
        <v>574</v>
      </c>
      <c r="Q277" s="1" t="s">
        <v>138</v>
      </c>
      <c r="R277" s="2" t="s">
        <v>586</v>
      </c>
      <c r="S277" s="8">
        <f>B277+1</f>
        <v>41112</v>
      </c>
    </row>
    <row r="278" spans="1:19" x14ac:dyDescent="0.15">
      <c r="A278" s="1">
        <v>22466</v>
      </c>
      <c r="B278" s="6">
        <f>DATE(2012,12,31)-278</f>
        <v>40996</v>
      </c>
      <c r="C278" s="2" t="s">
        <v>916</v>
      </c>
      <c r="D278" s="1">
        <v>31</v>
      </c>
      <c r="E278" s="1">
        <v>5404.18</v>
      </c>
      <c r="F278" s="1">
        <v>7.0000000000000007E-2</v>
      </c>
      <c r="G278" s="2" t="s">
        <v>562</v>
      </c>
      <c r="H278" s="10">
        <v>241.06</v>
      </c>
      <c r="I278" s="7">
        <v>180.98</v>
      </c>
      <c r="J278" s="7">
        <v>30</v>
      </c>
      <c r="K278" s="2" t="s">
        <v>826</v>
      </c>
      <c r="L278" s="16" t="s">
        <v>921</v>
      </c>
      <c r="M278" s="16" t="s">
        <v>921</v>
      </c>
      <c r="N278" s="2" t="s">
        <v>567</v>
      </c>
      <c r="O278" s="2" t="s">
        <v>570</v>
      </c>
      <c r="P278" s="2" t="s">
        <v>574</v>
      </c>
      <c r="Q278" s="1" t="s">
        <v>303</v>
      </c>
      <c r="R278" s="2" t="s">
        <v>586</v>
      </c>
      <c r="S278" s="8">
        <f>B278+7</f>
        <v>41003</v>
      </c>
    </row>
    <row r="279" spans="1:19" x14ac:dyDescent="0.15">
      <c r="A279" s="1">
        <v>22466</v>
      </c>
      <c r="B279" s="6">
        <f>DATE(2012,12,31)-278</f>
        <v>40996</v>
      </c>
      <c r="C279" s="2" t="s">
        <v>916</v>
      </c>
      <c r="D279" s="1">
        <v>40</v>
      </c>
      <c r="E279" s="1">
        <v>430.19</v>
      </c>
      <c r="F279" s="1">
        <v>0.02</v>
      </c>
      <c r="G279" s="2" t="s">
        <v>560</v>
      </c>
      <c r="H279" s="10">
        <v>181.26</v>
      </c>
      <c r="I279" s="7">
        <v>10.31</v>
      </c>
      <c r="J279" s="7">
        <v>1.79</v>
      </c>
      <c r="K279" s="2" t="s">
        <v>826</v>
      </c>
      <c r="L279" s="16" t="s">
        <v>921</v>
      </c>
      <c r="M279" s="16" t="s">
        <v>921</v>
      </c>
      <c r="N279" s="2" t="s">
        <v>567</v>
      </c>
      <c r="O279" s="2" t="s">
        <v>568</v>
      </c>
      <c r="P279" s="2" t="s">
        <v>573</v>
      </c>
      <c r="Q279" s="1" t="s">
        <v>732</v>
      </c>
      <c r="R279" s="2" t="s">
        <v>584</v>
      </c>
      <c r="S279" s="8">
        <f>B279+7</f>
        <v>41003</v>
      </c>
    </row>
    <row r="280" spans="1:19" x14ac:dyDescent="0.15">
      <c r="A280" s="1">
        <v>22497</v>
      </c>
      <c r="B280" s="6">
        <f>DATE(2012,12,31)-247</f>
        <v>41027</v>
      </c>
      <c r="C280" s="2" t="s">
        <v>914</v>
      </c>
      <c r="D280" s="1">
        <v>37</v>
      </c>
      <c r="E280" s="1">
        <v>3259.25</v>
      </c>
      <c r="F280" s="1">
        <v>0.04</v>
      </c>
      <c r="G280" s="2" t="s">
        <v>562</v>
      </c>
      <c r="H280" s="10">
        <v>580.33000000000004</v>
      </c>
      <c r="I280" s="7">
        <v>90.97</v>
      </c>
      <c r="J280" s="7">
        <v>28</v>
      </c>
      <c r="K280" s="2" t="s">
        <v>819</v>
      </c>
      <c r="L280" s="16" t="s">
        <v>921</v>
      </c>
      <c r="M280" s="16" t="s">
        <v>921</v>
      </c>
      <c r="N280" s="2" t="s">
        <v>567</v>
      </c>
      <c r="O280" s="2" t="s">
        <v>569</v>
      </c>
      <c r="P280" s="2" t="s">
        <v>583</v>
      </c>
      <c r="Q280" s="1" t="s">
        <v>651</v>
      </c>
      <c r="R280" s="2" t="s">
        <v>586</v>
      </c>
      <c r="S280" s="8">
        <f>B280+1</f>
        <v>41028</v>
      </c>
    </row>
    <row r="281" spans="1:19" x14ac:dyDescent="0.15">
      <c r="A281" s="1">
        <v>22627</v>
      </c>
      <c r="B281" s="6">
        <f>DATE(2012,12,31)-1003</f>
        <v>40271</v>
      </c>
      <c r="C281" s="2" t="s">
        <v>916</v>
      </c>
      <c r="D281" s="1">
        <v>46</v>
      </c>
      <c r="E281" s="1">
        <v>6803</v>
      </c>
      <c r="F281" s="1">
        <v>0.03</v>
      </c>
      <c r="G281" s="2" t="s">
        <v>562</v>
      </c>
      <c r="H281" s="10">
        <v>-1061.68</v>
      </c>
      <c r="I281" s="7">
        <v>150.97999999999999</v>
      </c>
      <c r="J281" s="7">
        <v>66.27</v>
      </c>
      <c r="K281" s="2" t="s">
        <v>908</v>
      </c>
      <c r="L281" s="16" t="s">
        <v>921</v>
      </c>
      <c r="M281" s="16" t="s">
        <v>921</v>
      </c>
      <c r="N281" s="2" t="s">
        <v>565</v>
      </c>
      <c r="O281" s="2" t="s">
        <v>570</v>
      </c>
      <c r="P281" s="2" t="s">
        <v>581</v>
      </c>
      <c r="Q281" s="1" t="s">
        <v>501</v>
      </c>
      <c r="R281" s="2" t="s">
        <v>588</v>
      </c>
      <c r="S281" s="8">
        <f>B281+0</f>
        <v>40271</v>
      </c>
    </row>
    <row r="282" spans="1:19" x14ac:dyDescent="0.15">
      <c r="A282" s="1">
        <v>22752</v>
      </c>
      <c r="B282" s="6">
        <f>DATE(2012,12,31)-24</f>
        <v>41250</v>
      </c>
      <c r="C282" s="2" t="s">
        <v>916</v>
      </c>
      <c r="D282" s="1">
        <v>2</v>
      </c>
      <c r="E282" s="1">
        <v>238.76</v>
      </c>
      <c r="F282" s="1">
        <v>0.1</v>
      </c>
      <c r="G282" s="2" t="s">
        <v>560</v>
      </c>
      <c r="H282" s="10">
        <v>-235.21</v>
      </c>
      <c r="I282" s="7">
        <v>110.98</v>
      </c>
      <c r="J282" s="7">
        <v>35</v>
      </c>
      <c r="K282" s="2" t="s">
        <v>858</v>
      </c>
      <c r="L282" s="16" t="s">
        <v>921</v>
      </c>
      <c r="M282" s="16" t="s">
        <v>921</v>
      </c>
      <c r="N282" s="2" t="s">
        <v>567</v>
      </c>
      <c r="O282" s="2" t="s">
        <v>568</v>
      </c>
      <c r="P282" s="2" t="s">
        <v>577</v>
      </c>
      <c r="Q282" s="1" t="s">
        <v>730</v>
      </c>
      <c r="R282" s="2" t="s">
        <v>590</v>
      </c>
      <c r="S282" s="8">
        <f>B282+5</f>
        <v>41255</v>
      </c>
    </row>
    <row r="283" spans="1:19" x14ac:dyDescent="0.15">
      <c r="A283" s="1">
        <v>22848</v>
      </c>
      <c r="B283" s="6">
        <f>DATE(2012,12,31)-387</f>
        <v>40887</v>
      </c>
      <c r="C283" s="2" t="s">
        <v>915</v>
      </c>
      <c r="D283" s="1">
        <v>20</v>
      </c>
      <c r="E283" s="1">
        <v>140.37</v>
      </c>
      <c r="F283" s="1">
        <v>0.01</v>
      </c>
      <c r="G283" s="2" t="s">
        <v>560</v>
      </c>
      <c r="H283" s="10">
        <v>-893.39</v>
      </c>
      <c r="I283" s="7">
        <v>4.4800000000000004</v>
      </c>
      <c r="J283" s="7">
        <v>49</v>
      </c>
      <c r="K283" s="2" t="s">
        <v>805</v>
      </c>
      <c r="L283" s="16" t="s">
        <v>921</v>
      </c>
      <c r="M283" s="16" t="s">
        <v>921</v>
      </c>
      <c r="N283" s="2" t="s">
        <v>564</v>
      </c>
      <c r="O283" s="2" t="s">
        <v>568</v>
      </c>
      <c r="P283" s="2" t="s">
        <v>576</v>
      </c>
      <c r="Q283" s="1" t="s">
        <v>296</v>
      </c>
      <c r="R283" s="2" t="s">
        <v>590</v>
      </c>
      <c r="S283" s="8">
        <f>B283+1</f>
        <v>40888</v>
      </c>
    </row>
    <row r="284" spans="1:19" x14ac:dyDescent="0.15">
      <c r="A284" s="1">
        <v>22848</v>
      </c>
      <c r="B284" s="6">
        <f>DATE(2012,12,31)-387</f>
        <v>40887</v>
      </c>
      <c r="C284" s="2" t="s">
        <v>915</v>
      </c>
      <c r="D284" s="1">
        <v>45</v>
      </c>
      <c r="E284" s="1">
        <v>5921.74</v>
      </c>
      <c r="F284" s="1">
        <v>0.02</v>
      </c>
      <c r="G284" s="2" t="s">
        <v>562</v>
      </c>
      <c r="H284" s="10">
        <v>-287.62</v>
      </c>
      <c r="I284" s="7">
        <v>130.97999999999999</v>
      </c>
      <c r="J284" s="7">
        <v>30</v>
      </c>
      <c r="K284" s="2" t="s">
        <v>805</v>
      </c>
      <c r="L284" s="16" t="s">
        <v>921</v>
      </c>
      <c r="M284" s="16" t="s">
        <v>921</v>
      </c>
      <c r="N284" s="2" t="s">
        <v>564</v>
      </c>
      <c r="O284" s="2" t="s">
        <v>570</v>
      </c>
      <c r="P284" s="2" t="s">
        <v>574</v>
      </c>
      <c r="Q284" s="1" t="s">
        <v>421</v>
      </c>
      <c r="R284" s="2" t="s">
        <v>586</v>
      </c>
      <c r="S284" s="8">
        <f>B284+2</f>
        <v>40889</v>
      </c>
    </row>
    <row r="285" spans="1:19" x14ac:dyDescent="0.15">
      <c r="A285" s="1">
        <v>22848</v>
      </c>
      <c r="B285" s="6">
        <f>DATE(2012,12,31)-387</f>
        <v>40887</v>
      </c>
      <c r="C285" s="2" t="s">
        <v>915</v>
      </c>
      <c r="D285" s="1">
        <v>4</v>
      </c>
      <c r="E285" s="1">
        <v>68.16</v>
      </c>
      <c r="F285" s="1">
        <v>0.09</v>
      </c>
      <c r="G285" s="2" t="s">
        <v>560</v>
      </c>
      <c r="H285" s="10">
        <v>-52.44</v>
      </c>
      <c r="I285" s="7">
        <v>15.98</v>
      </c>
      <c r="J285" s="7">
        <v>6.5</v>
      </c>
      <c r="K285" s="2" t="s">
        <v>805</v>
      </c>
      <c r="L285" s="16" t="s">
        <v>921</v>
      </c>
      <c r="M285" s="16" t="s">
        <v>921</v>
      </c>
      <c r="N285" s="2" t="s">
        <v>564</v>
      </c>
      <c r="O285" s="2" t="s">
        <v>569</v>
      </c>
      <c r="P285" s="2" t="s">
        <v>572</v>
      </c>
      <c r="Q285" s="1" t="s">
        <v>490</v>
      </c>
      <c r="R285" s="2" t="s">
        <v>585</v>
      </c>
      <c r="S285" s="8">
        <f>B285+2</f>
        <v>40889</v>
      </c>
    </row>
    <row r="286" spans="1:19" x14ac:dyDescent="0.15">
      <c r="A286" s="1">
        <v>22850</v>
      </c>
      <c r="B286" s="6">
        <f>DATE(2012,12,31)-611</f>
        <v>40663</v>
      </c>
      <c r="C286" s="2" t="s">
        <v>914</v>
      </c>
      <c r="D286" s="1">
        <v>4</v>
      </c>
      <c r="E286" s="1">
        <v>105.13</v>
      </c>
      <c r="F286" s="1">
        <v>0.08</v>
      </c>
      <c r="G286" s="2" t="s">
        <v>560</v>
      </c>
      <c r="H286" s="10">
        <v>-103.23</v>
      </c>
      <c r="I286" s="7">
        <v>27.48</v>
      </c>
      <c r="J286" s="7">
        <v>4</v>
      </c>
      <c r="K286" s="2" t="s">
        <v>778</v>
      </c>
      <c r="L286" s="16" t="s">
        <v>921</v>
      </c>
      <c r="M286" s="16" t="s">
        <v>921</v>
      </c>
      <c r="N286" s="2" t="s">
        <v>564</v>
      </c>
      <c r="O286" s="2" t="s">
        <v>569</v>
      </c>
      <c r="P286" s="2" t="s">
        <v>572</v>
      </c>
      <c r="Q286" s="1" t="s">
        <v>721</v>
      </c>
      <c r="R286" s="2" t="s">
        <v>585</v>
      </c>
      <c r="S286" s="8">
        <f>B286+1</f>
        <v>40664</v>
      </c>
    </row>
    <row r="287" spans="1:19" x14ac:dyDescent="0.15">
      <c r="A287" s="1">
        <v>22912</v>
      </c>
      <c r="B287" s="6">
        <f>DATE(2012,12,31)-807</f>
        <v>40467</v>
      </c>
      <c r="C287" s="2" t="s">
        <v>916</v>
      </c>
      <c r="D287" s="1">
        <v>33</v>
      </c>
      <c r="E287" s="1">
        <v>10168.23</v>
      </c>
      <c r="F287" s="1">
        <v>0.03</v>
      </c>
      <c r="G287" s="2" t="s">
        <v>561</v>
      </c>
      <c r="H287" s="10">
        <v>4141.8035</v>
      </c>
      <c r="I287" s="7">
        <v>304.99</v>
      </c>
      <c r="J287" s="7">
        <v>19.989999999999998</v>
      </c>
      <c r="K287" s="2" t="s">
        <v>806</v>
      </c>
      <c r="L287" s="16" t="s">
        <v>921</v>
      </c>
      <c r="M287" s="16" t="s">
        <v>921</v>
      </c>
      <c r="N287" s="2" t="s">
        <v>567</v>
      </c>
      <c r="O287" s="2" t="s">
        <v>568</v>
      </c>
      <c r="P287" s="2" t="s">
        <v>88</v>
      </c>
      <c r="Q287" s="1" t="s">
        <v>68</v>
      </c>
      <c r="R287" s="2" t="s">
        <v>585</v>
      </c>
      <c r="S287" s="8">
        <f>B287+4</f>
        <v>40471</v>
      </c>
    </row>
    <row r="288" spans="1:19" x14ac:dyDescent="0.15">
      <c r="A288" s="1">
        <v>22913</v>
      </c>
      <c r="B288" s="6">
        <f>DATE(2012,12,31)-920</f>
        <v>40354</v>
      </c>
      <c r="C288" s="2" t="s">
        <v>917</v>
      </c>
      <c r="D288" s="1">
        <v>32</v>
      </c>
      <c r="E288" s="1">
        <v>176.77</v>
      </c>
      <c r="F288" s="1">
        <v>0.06</v>
      </c>
      <c r="G288" s="2" t="s">
        <v>561</v>
      </c>
      <c r="H288" s="10">
        <v>-41.6</v>
      </c>
      <c r="I288" s="7">
        <v>4.9800000000000004</v>
      </c>
      <c r="J288" s="7">
        <v>4.72</v>
      </c>
      <c r="K288" s="2" t="s">
        <v>829</v>
      </c>
      <c r="L288" s="16" t="s">
        <v>921</v>
      </c>
      <c r="M288" s="16" t="s">
        <v>921</v>
      </c>
      <c r="N288" s="2" t="s">
        <v>567</v>
      </c>
      <c r="O288" s="2" t="s">
        <v>568</v>
      </c>
      <c r="P288" s="2" t="s">
        <v>573</v>
      </c>
      <c r="Q288" s="1" t="s">
        <v>1</v>
      </c>
      <c r="R288" s="2" t="s">
        <v>585</v>
      </c>
      <c r="S288" s="8">
        <f>B288+1</f>
        <v>40355</v>
      </c>
    </row>
    <row r="289" spans="1:19" x14ac:dyDescent="0.15">
      <c r="A289" s="1">
        <v>22913</v>
      </c>
      <c r="B289" s="6">
        <f>DATE(2012,12,31)-920</f>
        <v>40354</v>
      </c>
      <c r="C289" s="2" t="s">
        <v>917</v>
      </c>
      <c r="D289" s="1">
        <v>24</v>
      </c>
      <c r="E289" s="1">
        <v>6568.0240000000013</v>
      </c>
      <c r="F289" s="1">
        <v>0.06</v>
      </c>
      <c r="G289" s="2" t="s">
        <v>562</v>
      </c>
      <c r="H289" s="10">
        <v>1715.9</v>
      </c>
      <c r="I289" s="7">
        <v>348.21</v>
      </c>
      <c r="J289" s="7">
        <v>40.19</v>
      </c>
      <c r="K289" s="2" t="s">
        <v>829</v>
      </c>
      <c r="L289" s="16" t="s">
        <v>921</v>
      </c>
      <c r="M289" s="16" t="s">
        <v>921</v>
      </c>
      <c r="N289" s="2" t="s">
        <v>567</v>
      </c>
      <c r="O289" s="2" t="s">
        <v>570</v>
      </c>
      <c r="P289" s="2" t="s">
        <v>578</v>
      </c>
      <c r="Q289" s="1" t="s">
        <v>282</v>
      </c>
      <c r="R289" s="2" t="s">
        <v>588</v>
      </c>
      <c r="S289" s="8">
        <f>B289+3</f>
        <v>40357</v>
      </c>
    </row>
    <row r="290" spans="1:19" x14ac:dyDescent="0.15">
      <c r="A290" s="1">
        <v>22913</v>
      </c>
      <c r="B290" s="6">
        <f>DATE(2012,12,31)-920</f>
        <v>40354</v>
      </c>
      <c r="C290" s="2" t="s">
        <v>917</v>
      </c>
      <c r="D290" s="1">
        <v>50</v>
      </c>
      <c r="E290" s="1">
        <v>1579.028</v>
      </c>
      <c r="F290" s="1">
        <v>0.02</v>
      </c>
      <c r="G290" s="2" t="s">
        <v>560</v>
      </c>
      <c r="H290" s="10">
        <v>624.97799999999995</v>
      </c>
      <c r="I290" s="7">
        <v>35.99</v>
      </c>
      <c r="J290" s="7">
        <v>5.99</v>
      </c>
      <c r="K290" s="2" t="s">
        <v>829</v>
      </c>
      <c r="L290" s="16" t="s">
        <v>921</v>
      </c>
      <c r="M290" s="16" t="s">
        <v>921</v>
      </c>
      <c r="N290" s="2" t="s">
        <v>567</v>
      </c>
      <c r="O290" s="2" t="s">
        <v>569</v>
      </c>
      <c r="P290" s="2" t="s">
        <v>87</v>
      </c>
      <c r="Q290" s="1" t="s">
        <v>6</v>
      </c>
      <c r="R290" s="2" t="s">
        <v>584</v>
      </c>
      <c r="S290" s="8">
        <f>B290+1</f>
        <v>40355</v>
      </c>
    </row>
    <row r="291" spans="1:19" x14ac:dyDescent="0.15">
      <c r="A291" s="1">
        <v>22914</v>
      </c>
      <c r="B291" s="6">
        <f>DATE(2012,12,31)-353</f>
        <v>40921</v>
      </c>
      <c r="C291" s="2" t="s">
        <v>917</v>
      </c>
      <c r="D291" s="1">
        <v>30</v>
      </c>
      <c r="E291" s="1">
        <v>336.65</v>
      </c>
      <c r="F291" s="1">
        <v>7.0000000000000007E-2</v>
      </c>
      <c r="G291" s="2" t="s">
        <v>560</v>
      </c>
      <c r="H291" s="10">
        <v>-71.05</v>
      </c>
      <c r="I291" s="7">
        <v>11.7</v>
      </c>
      <c r="J291" s="7">
        <v>6.96</v>
      </c>
      <c r="K291" s="2" t="s">
        <v>868</v>
      </c>
      <c r="L291" s="16" t="s">
        <v>921</v>
      </c>
      <c r="M291" s="16" t="s">
        <v>921</v>
      </c>
      <c r="N291" s="2" t="s">
        <v>567</v>
      </c>
      <c r="O291" s="2" t="s">
        <v>568</v>
      </c>
      <c r="P291" s="2" t="s">
        <v>576</v>
      </c>
      <c r="Q291" s="1" t="s">
        <v>379</v>
      </c>
      <c r="R291" s="2" t="s">
        <v>589</v>
      </c>
      <c r="S291" s="8">
        <f>B291+1</f>
        <v>40922</v>
      </c>
    </row>
    <row r="292" spans="1:19" x14ac:dyDescent="0.15">
      <c r="A292" s="1">
        <v>23042</v>
      </c>
      <c r="B292" s="6">
        <f>DATE(2012,12,31)-1345</f>
        <v>39929</v>
      </c>
      <c r="C292" s="2" t="s">
        <v>914</v>
      </c>
      <c r="D292" s="1">
        <v>20</v>
      </c>
      <c r="E292" s="1">
        <v>8048.45</v>
      </c>
      <c r="F292" s="1">
        <v>0.04</v>
      </c>
      <c r="G292" s="2" t="s">
        <v>560</v>
      </c>
      <c r="H292" s="10">
        <v>1947.67</v>
      </c>
      <c r="I292" s="7">
        <v>419.19</v>
      </c>
      <c r="J292" s="7">
        <v>19.989999999999998</v>
      </c>
      <c r="K292" s="2" t="s">
        <v>805</v>
      </c>
      <c r="L292" s="16" t="s">
        <v>921</v>
      </c>
      <c r="M292" s="16" t="s">
        <v>921</v>
      </c>
      <c r="N292" s="2" t="s">
        <v>564</v>
      </c>
      <c r="O292" s="2" t="s">
        <v>568</v>
      </c>
      <c r="P292" s="2" t="s">
        <v>577</v>
      </c>
      <c r="Q292" s="1" t="s">
        <v>699</v>
      </c>
      <c r="R292" s="2" t="s">
        <v>585</v>
      </c>
      <c r="S292" s="8">
        <f>B292+1</f>
        <v>39930</v>
      </c>
    </row>
    <row r="293" spans="1:19" x14ac:dyDescent="0.15">
      <c r="A293" s="1">
        <v>23168</v>
      </c>
      <c r="B293" s="6">
        <f>DATE(2012,12,31)-838</f>
        <v>40436</v>
      </c>
      <c r="C293" s="2" t="s">
        <v>916</v>
      </c>
      <c r="D293" s="1">
        <v>46</v>
      </c>
      <c r="E293" s="1">
        <v>23949.51</v>
      </c>
      <c r="F293" s="1">
        <v>0</v>
      </c>
      <c r="G293" s="2" t="s">
        <v>561</v>
      </c>
      <c r="H293" s="10">
        <v>-1312.84</v>
      </c>
      <c r="I293" s="7">
        <v>499.99</v>
      </c>
      <c r="J293" s="7">
        <v>24.49</v>
      </c>
      <c r="K293" s="2" t="s">
        <v>884</v>
      </c>
      <c r="L293" s="16" t="s">
        <v>921</v>
      </c>
      <c r="M293" s="16" t="s">
        <v>921</v>
      </c>
      <c r="N293" s="2" t="s">
        <v>564</v>
      </c>
      <c r="O293" s="2" t="s">
        <v>569</v>
      </c>
      <c r="P293" s="2" t="s">
        <v>90</v>
      </c>
      <c r="Q293" s="1" t="s">
        <v>276</v>
      </c>
      <c r="R293" s="2" t="s">
        <v>590</v>
      </c>
      <c r="S293" s="8">
        <f>B293+7</f>
        <v>40443</v>
      </c>
    </row>
    <row r="294" spans="1:19" x14ac:dyDescent="0.15">
      <c r="A294" s="1">
        <v>23235</v>
      </c>
      <c r="B294" s="6">
        <f>DATE(2012,12,31)-545</f>
        <v>40729</v>
      </c>
      <c r="C294" s="2" t="s">
        <v>913</v>
      </c>
      <c r="D294" s="1">
        <v>6</v>
      </c>
      <c r="E294" s="1">
        <v>17.43</v>
      </c>
      <c r="F294" s="1">
        <v>0.02</v>
      </c>
      <c r="G294" s="2" t="s">
        <v>560</v>
      </c>
      <c r="H294" s="10">
        <v>2.4500000000000002</v>
      </c>
      <c r="I294" s="7">
        <v>2.88</v>
      </c>
      <c r="J294" s="7">
        <v>0.5</v>
      </c>
      <c r="K294" s="2" t="s">
        <v>884</v>
      </c>
      <c r="L294" s="16" t="s">
        <v>921</v>
      </c>
      <c r="M294" s="16" t="s">
        <v>921</v>
      </c>
      <c r="N294" s="2" t="s">
        <v>564</v>
      </c>
      <c r="O294" s="2" t="s">
        <v>570</v>
      </c>
      <c r="P294" s="2" t="s">
        <v>578</v>
      </c>
      <c r="Q294" s="1" t="s">
        <v>70</v>
      </c>
      <c r="R294" s="2" t="s">
        <v>588</v>
      </c>
      <c r="S294" s="8">
        <f t="shared" ref="S294:S299" si="2">B294+2</f>
        <v>40731</v>
      </c>
    </row>
    <row r="295" spans="1:19" x14ac:dyDescent="0.15">
      <c r="A295" s="1">
        <v>23238</v>
      </c>
      <c r="B295" s="6">
        <f>DATE(2012,12,31)-1006</f>
        <v>40268</v>
      </c>
      <c r="C295" s="2" t="s">
        <v>915</v>
      </c>
      <c r="D295" s="1">
        <v>25</v>
      </c>
      <c r="E295" s="1">
        <v>2976.19</v>
      </c>
      <c r="F295" s="1">
        <v>0.05</v>
      </c>
      <c r="G295" s="2" t="s">
        <v>562</v>
      </c>
      <c r="H295" s="10">
        <v>-44.517900000000004</v>
      </c>
      <c r="I295" s="7">
        <v>115.99</v>
      </c>
      <c r="J295" s="7">
        <v>56.14</v>
      </c>
      <c r="K295" s="2" t="s">
        <v>824</v>
      </c>
      <c r="L295" s="16" t="s">
        <v>921</v>
      </c>
      <c r="M295" s="16" t="s">
        <v>921</v>
      </c>
      <c r="N295" s="2" t="s">
        <v>565</v>
      </c>
      <c r="O295" s="2" t="s">
        <v>569</v>
      </c>
      <c r="P295" s="2" t="s">
        <v>583</v>
      </c>
      <c r="Q295" s="1" t="s">
        <v>33</v>
      </c>
      <c r="R295" s="2" t="s">
        <v>586</v>
      </c>
      <c r="S295" s="8">
        <f t="shared" si="2"/>
        <v>40270</v>
      </c>
    </row>
    <row r="296" spans="1:19" x14ac:dyDescent="0.15">
      <c r="A296" s="1">
        <v>23297</v>
      </c>
      <c r="B296" s="6">
        <f>DATE(2012,12,31)-182</f>
        <v>41092</v>
      </c>
      <c r="C296" s="2" t="s">
        <v>917</v>
      </c>
      <c r="D296" s="1">
        <v>20</v>
      </c>
      <c r="E296" s="1">
        <v>498.68</v>
      </c>
      <c r="F296" s="1">
        <v>0.06</v>
      </c>
      <c r="G296" s="2" t="s">
        <v>560</v>
      </c>
      <c r="H296" s="10">
        <v>79.52</v>
      </c>
      <c r="I296" s="7">
        <v>25.98</v>
      </c>
      <c r="J296" s="7">
        <v>5.37</v>
      </c>
      <c r="K296" s="2" t="s">
        <v>868</v>
      </c>
      <c r="L296" s="16" t="s">
        <v>921</v>
      </c>
      <c r="M296" s="16" t="s">
        <v>921</v>
      </c>
      <c r="N296" s="2" t="s">
        <v>567</v>
      </c>
      <c r="O296" s="2" t="s">
        <v>568</v>
      </c>
      <c r="P296" s="2" t="s">
        <v>576</v>
      </c>
      <c r="Q296" s="1" t="s">
        <v>36</v>
      </c>
      <c r="R296" s="2" t="s">
        <v>589</v>
      </c>
      <c r="S296" s="8">
        <f t="shared" si="2"/>
        <v>41094</v>
      </c>
    </row>
    <row r="297" spans="1:19" x14ac:dyDescent="0.15">
      <c r="A297" s="1">
        <v>23297</v>
      </c>
      <c r="B297" s="6">
        <f>DATE(2012,12,31)-182</f>
        <v>41092</v>
      </c>
      <c r="C297" s="2" t="s">
        <v>917</v>
      </c>
      <c r="D297" s="1">
        <v>34</v>
      </c>
      <c r="E297" s="1">
        <v>5208.78</v>
      </c>
      <c r="F297" s="1">
        <v>0.05</v>
      </c>
      <c r="G297" s="2" t="s">
        <v>560</v>
      </c>
      <c r="H297" s="10">
        <v>1547.78</v>
      </c>
      <c r="I297" s="7">
        <v>155.06</v>
      </c>
      <c r="J297" s="7">
        <v>7.07</v>
      </c>
      <c r="K297" s="2" t="s">
        <v>868</v>
      </c>
      <c r="L297" s="16" t="s">
        <v>921</v>
      </c>
      <c r="M297" s="16" t="s">
        <v>921</v>
      </c>
      <c r="N297" s="2" t="s">
        <v>567</v>
      </c>
      <c r="O297" s="2" t="s">
        <v>568</v>
      </c>
      <c r="P297" s="2" t="s">
        <v>577</v>
      </c>
      <c r="Q297" s="1" t="s">
        <v>104</v>
      </c>
      <c r="R297" s="2" t="s">
        <v>585</v>
      </c>
      <c r="S297" s="8">
        <f t="shared" si="2"/>
        <v>41094</v>
      </c>
    </row>
    <row r="298" spans="1:19" x14ac:dyDescent="0.15">
      <c r="A298" s="1">
        <v>23301</v>
      </c>
      <c r="B298" s="6">
        <f>DATE(2012,12,31)-623</f>
        <v>40651</v>
      </c>
      <c r="C298" s="2" t="s">
        <v>913</v>
      </c>
      <c r="D298" s="1">
        <v>4</v>
      </c>
      <c r="E298" s="1">
        <v>28.46</v>
      </c>
      <c r="F298" s="1">
        <v>0.02</v>
      </c>
      <c r="G298" s="2" t="s">
        <v>560</v>
      </c>
      <c r="H298" s="10">
        <v>-27.13</v>
      </c>
      <c r="I298" s="7">
        <v>5.98</v>
      </c>
      <c r="J298" s="7">
        <v>3.85</v>
      </c>
      <c r="K298" s="2" t="s">
        <v>868</v>
      </c>
      <c r="L298" s="16" t="s">
        <v>921</v>
      </c>
      <c r="M298" s="16" t="s">
        <v>921</v>
      </c>
      <c r="N298" s="2" t="s">
        <v>567</v>
      </c>
      <c r="O298" s="2" t="s">
        <v>569</v>
      </c>
      <c r="P298" s="2" t="s">
        <v>572</v>
      </c>
      <c r="Q298" s="1" t="s">
        <v>80</v>
      </c>
      <c r="R298" s="2" t="s">
        <v>587</v>
      </c>
      <c r="S298" s="8">
        <f t="shared" si="2"/>
        <v>40653</v>
      </c>
    </row>
    <row r="299" spans="1:19" x14ac:dyDescent="0.15">
      <c r="A299" s="1">
        <v>23301</v>
      </c>
      <c r="B299" s="6">
        <f>DATE(2012,12,31)-623</f>
        <v>40651</v>
      </c>
      <c r="C299" s="2" t="s">
        <v>913</v>
      </c>
      <c r="D299" s="1">
        <v>3</v>
      </c>
      <c r="E299" s="1">
        <v>23.44</v>
      </c>
      <c r="F299" s="1">
        <v>0.05</v>
      </c>
      <c r="G299" s="2" t="s">
        <v>560</v>
      </c>
      <c r="H299" s="10">
        <v>-10.58</v>
      </c>
      <c r="I299" s="7">
        <v>5.98</v>
      </c>
      <c r="J299" s="7">
        <v>5.2</v>
      </c>
      <c r="K299" s="2" t="s">
        <v>868</v>
      </c>
      <c r="L299" s="16" t="s">
        <v>921</v>
      </c>
      <c r="M299" s="16" t="s">
        <v>921</v>
      </c>
      <c r="N299" s="2" t="s">
        <v>567</v>
      </c>
      <c r="O299" s="2" t="s">
        <v>568</v>
      </c>
      <c r="P299" s="2" t="s">
        <v>573</v>
      </c>
      <c r="Q299" s="1" t="s">
        <v>158</v>
      </c>
      <c r="R299" s="2" t="s">
        <v>585</v>
      </c>
      <c r="S299" s="8">
        <f t="shared" si="2"/>
        <v>40653</v>
      </c>
    </row>
    <row r="300" spans="1:19" x14ac:dyDescent="0.15">
      <c r="A300" s="1">
        <v>23329</v>
      </c>
      <c r="B300" s="6">
        <f>DATE(2012,12,31)-736</f>
        <v>40538</v>
      </c>
      <c r="C300" s="2" t="s">
        <v>916</v>
      </c>
      <c r="D300" s="1">
        <v>4</v>
      </c>
      <c r="E300" s="1">
        <v>31.118499999999997</v>
      </c>
      <c r="F300" s="1">
        <v>0.05</v>
      </c>
      <c r="G300" s="2" t="s">
        <v>560</v>
      </c>
      <c r="H300" s="10">
        <v>-46.904000000000003</v>
      </c>
      <c r="I300" s="7">
        <v>7.99</v>
      </c>
      <c r="J300" s="7">
        <v>5.03</v>
      </c>
      <c r="K300" s="2" t="s">
        <v>769</v>
      </c>
      <c r="L300" s="16" t="s">
        <v>921</v>
      </c>
      <c r="M300" s="16" t="s">
        <v>921</v>
      </c>
      <c r="N300" s="2" t="s">
        <v>564</v>
      </c>
      <c r="O300" s="2" t="s">
        <v>569</v>
      </c>
      <c r="P300" s="2" t="s">
        <v>87</v>
      </c>
      <c r="Q300" s="1" t="s">
        <v>626</v>
      </c>
      <c r="R300" s="2" t="s">
        <v>589</v>
      </c>
      <c r="S300" s="8">
        <f>B300+24</f>
        <v>40562</v>
      </c>
    </row>
    <row r="301" spans="1:19" x14ac:dyDescent="0.15">
      <c r="A301" s="1">
        <v>23329</v>
      </c>
      <c r="B301" s="6">
        <f>DATE(2012,12,31)-736</f>
        <v>40538</v>
      </c>
      <c r="C301" s="2" t="s">
        <v>916</v>
      </c>
      <c r="D301" s="1">
        <v>47</v>
      </c>
      <c r="E301" s="1">
        <v>4829.4534999999996</v>
      </c>
      <c r="F301" s="1">
        <v>0.05</v>
      </c>
      <c r="G301" s="2" t="s">
        <v>560</v>
      </c>
      <c r="H301" s="10">
        <v>1235.1510000000001</v>
      </c>
      <c r="I301" s="7">
        <v>125.99</v>
      </c>
      <c r="J301" s="7">
        <v>8.99</v>
      </c>
      <c r="K301" s="2" t="s">
        <v>769</v>
      </c>
      <c r="L301" s="16" t="s">
        <v>921</v>
      </c>
      <c r="M301" s="16" t="s">
        <v>921</v>
      </c>
      <c r="N301" s="2" t="s">
        <v>564</v>
      </c>
      <c r="O301" s="2" t="s">
        <v>569</v>
      </c>
      <c r="P301" s="2" t="s">
        <v>87</v>
      </c>
      <c r="Q301" s="1" t="s">
        <v>480</v>
      </c>
      <c r="R301" s="2" t="s">
        <v>585</v>
      </c>
      <c r="S301" s="8">
        <f>B301+4</f>
        <v>40542</v>
      </c>
    </row>
    <row r="302" spans="1:19" x14ac:dyDescent="0.15">
      <c r="A302" s="1">
        <v>23366</v>
      </c>
      <c r="B302" s="6">
        <f>DATE(2012,12,31)-773</f>
        <v>40501</v>
      </c>
      <c r="C302" s="2" t="s">
        <v>915</v>
      </c>
      <c r="D302" s="1">
        <v>12</v>
      </c>
      <c r="E302" s="1">
        <v>136.1</v>
      </c>
      <c r="F302" s="1">
        <v>0.06</v>
      </c>
      <c r="G302" s="2" t="s">
        <v>560</v>
      </c>
      <c r="H302" s="10">
        <v>-3.78</v>
      </c>
      <c r="I302" s="7">
        <v>10.52</v>
      </c>
      <c r="J302" s="7">
        <v>7.94</v>
      </c>
      <c r="K302" s="2" t="s">
        <v>887</v>
      </c>
      <c r="L302" s="16" t="s">
        <v>921</v>
      </c>
      <c r="M302" s="16" t="s">
        <v>921</v>
      </c>
      <c r="N302" s="2" t="s">
        <v>567</v>
      </c>
      <c r="O302" s="2" t="s">
        <v>570</v>
      </c>
      <c r="P302" s="2" t="s">
        <v>579</v>
      </c>
      <c r="Q302" s="1" t="s">
        <v>528</v>
      </c>
      <c r="R302" s="2" t="s">
        <v>587</v>
      </c>
      <c r="S302" s="8">
        <f>B302+2</f>
        <v>40503</v>
      </c>
    </row>
    <row r="303" spans="1:19" x14ac:dyDescent="0.15">
      <c r="A303" s="1">
        <v>23366</v>
      </c>
      <c r="B303" s="6">
        <f>DATE(2012,12,31)-773</f>
        <v>40501</v>
      </c>
      <c r="C303" s="2" t="s">
        <v>915</v>
      </c>
      <c r="D303" s="1">
        <v>5</v>
      </c>
      <c r="E303" s="1">
        <v>297.85000000000002</v>
      </c>
      <c r="F303" s="1">
        <v>0.04</v>
      </c>
      <c r="G303" s="2" t="s">
        <v>560</v>
      </c>
      <c r="H303" s="10">
        <v>-69.89</v>
      </c>
      <c r="I303" s="7">
        <v>54.1</v>
      </c>
      <c r="J303" s="7">
        <v>19.989999999999998</v>
      </c>
      <c r="K303" s="2" t="s">
        <v>887</v>
      </c>
      <c r="L303" s="16" t="s">
        <v>921</v>
      </c>
      <c r="M303" s="16" t="s">
        <v>921</v>
      </c>
      <c r="N303" s="2" t="s">
        <v>567</v>
      </c>
      <c r="O303" s="2" t="s">
        <v>568</v>
      </c>
      <c r="P303" s="2" t="s">
        <v>577</v>
      </c>
      <c r="Q303" s="1" t="s">
        <v>714</v>
      </c>
      <c r="R303" s="2" t="s">
        <v>585</v>
      </c>
      <c r="S303" s="8">
        <f>B303+0</f>
        <v>40501</v>
      </c>
    </row>
    <row r="304" spans="1:19" x14ac:dyDescent="0.15">
      <c r="A304" s="1">
        <v>23395</v>
      </c>
      <c r="B304" s="6">
        <f>DATE(2012,12,31)-65</f>
        <v>41209</v>
      </c>
      <c r="C304" s="2" t="s">
        <v>914</v>
      </c>
      <c r="D304" s="1">
        <v>31</v>
      </c>
      <c r="E304" s="1">
        <v>1296.46</v>
      </c>
      <c r="F304" s="1">
        <v>0.01</v>
      </c>
      <c r="G304" s="2" t="s">
        <v>560</v>
      </c>
      <c r="H304" s="10">
        <v>376.47</v>
      </c>
      <c r="I304" s="7">
        <v>39.479999999999997</v>
      </c>
      <c r="J304" s="7">
        <v>1.99</v>
      </c>
      <c r="K304" s="2" t="s">
        <v>864</v>
      </c>
      <c r="L304" s="16" t="s">
        <v>921</v>
      </c>
      <c r="M304" s="16" t="s">
        <v>921</v>
      </c>
      <c r="N304" s="2" t="s">
        <v>567</v>
      </c>
      <c r="O304" s="2" t="s">
        <v>569</v>
      </c>
      <c r="P304" s="2" t="s">
        <v>572</v>
      </c>
      <c r="Q304" s="1" t="s">
        <v>271</v>
      </c>
      <c r="R304" s="2" t="s">
        <v>587</v>
      </c>
      <c r="S304" s="8">
        <f>B304+2</f>
        <v>41211</v>
      </c>
    </row>
    <row r="305" spans="1:19" x14ac:dyDescent="0.15">
      <c r="A305" s="1">
        <v>23488</v>
      </c>
      <c r="B305" s="6">
        <f>DATE(2012,12,31)-1455</f>
        <v>39819</v>
      </c>
      <c r="C305" s="2" t="s">
        <v>913</v>
      </c>
      <c r="D305" s="1">
        <v>29</v>
      </c>
      <c r="E305" s="1">
        <v>101.77</v>
      </c>
      <c r="F305" s="1">
        <v>0.03</v>
      </c>
      <c r="G305" s="2" t="s">
        <v>560</v>
      </c>
      <c r="H305" s="10">
        <v>-73.19</v>
      </c>
      <c r="I305" s="7">
        <v>3.28</v>
      </c>
      <c r="J305" s="7">
        <v>3.97</v>
      </c>
      <c r="K305" s="2" t="s">
        <v>760</v>
      </c>
      <c r="L305" s="16" t="s">
        <v>921</v>
      </c>
      <c r="M305" s="16" t="s">
        <v>921</v>
      </c>
      <c r="N305" s="2" t="s">
        <v>564</v>
      </c>
      <c r="O305" s="2" t="s">
        <v>568</v>
      </c>
      <c r="P305" s="2" t="s">
        <v>571</v>
      </c>
      <c r="Q305" s="1" t="s">
        <v>164</v>
      </c>
      <c r="R305" s="2" t="s">
        <v>584</v>
      </c>
      <c r="S305" s="8">
        <f>B305+2</f>
        <v>39821</v>
      </c>
    </row>
    <row r="306" spans="1:19" x14ac:dyDescent="0.15">
      <c r="A306" s="1">
        <v>23555</v>
      </c>
      <c r="B306" s="6">
        <f>DATE(2012,12,31)-20</f>
        <v>41254</v>
      </c>
      <c r="C306" s="2" t="s">
        <v>913</v>
      </c>
      <c r="D306" s="1">
        <v>29</v>
      </c>
      <c r="E306" s="1">
        <v>104.7</v>
      </c>
      <c r="F306" s="1">
        <v>0.09</v>
      </c>
      <c r="G306" s="2" t="s">
        <v>560</v>
      </c>
      <c r="H306" s="10">
        <v>42.16</v>
      </c>
      <c r="I306" s="7">
        <v>3.69</v>
      </c>
      <c r="J306" s="7">
        <v>0.5</v>
      </c>
      <c r="K306" s="2" t="s">
        <v>868</v>
      </c>
      <c r="L306" s="16" t="s">
        <v>921</v>
      </c>
      <c r="M306" s="16" t="s">
        <v>921</v>
      </c>
      <c r="N306" s="2" t="s">
        <v>567</v>
      </c>
      <c r="O306" s="2" t="s">
        <v>568</v>
      </c>
      <c r="P306" s="2" t="s">
        <v>582</v>
      </c>
      <c r="Q306" s="1" t="s">
        <v>366</v>
      </c>
      <c r="R306" s="2" t="s">
        <v>585</v>
      </c>
      <c r="S306" s="8">
        <f>B306+1</f>
        <v>41255</v>
      </c>
    </row>
    <row r="307" spans="1:19" x14ac:dyDescent="0.15">
      <c r="A307" s="1">
        <v>23555</v>
      </c>
      <c r="B307" s="6">
        <f>DATE(2012,12,31)-20</f>
        <v>41254</v>
      </c>
      <c r="C307" s="2" t="s">
        <v>913</v>
      </c>
      <c r="D307" s="1">
        <v>5</v>
      </c>
      <c r="E307" s="1">
        <v>284.45249999999999</v>
      </c>
      <c r="F307" s="1">
        <v>0.06</v>
      </c>
      <c r="G307" s="2" t="s">
        <v>560</v>
      </c>
      <c r="H307" s="10">
        <v>-254.78200000000001</v>
      </c>
      <c r="I307" s="7">
        <v>65.989999999999995</v>
      </c>
      <c r="J307" s="7">
        <v>8.99</v>
      </c>
      <c r="K307" s="2" t="s">
        <v>868</v>
      </c>
      <c r="L307" s="16" t="s">
        <v>921</v>
      </c>
      <c r="M307" s="16" t="s">
        <v>921</v>
      </c>
      <c r="N307" s="2" t="s">
        <v>567</v>
      </c>
      <c r="O307" s="2" t="s">
        <v>569</v>
      </c>
      <c r="P307" s="2" t="s">
        <v>87</v>
      </c>
      <c r="Q307" s="1" t="s">
        <v>287</v>
      </c>
      <c r="R307" s="2" t="s">
        <v>585</v>
      </c>
      <c r="S307" s="8">
        <f>B307+1</f>
        <v>41255</v>
      </c>
    </row>
    <row r="308" spans="1:19" x14ac:dyDescent="0.15">
      <c r="A308" s="1">
        <v>23617</v>
      </c>
      <c r="B308" s="6">
        <f>DATE(2012,12,31)-606</f>
        <v>40668</v>
      </c>
      <c r="C308" s="2" t="s">
        <v>915</v>
      </c>
      <c r="D308" s="1">
        <v>6</v>
      </c>
      <c r="E308" s="1">
        <v>247.34</v>
      </c>
      <c r="F308" s="1">
        <v>0.04</v>
      </c>
      <c r="G308" s="2" t="s">
        <v>561</v>
      </c>
      <c r="H308" s="10">
        <v>63.605499999999999</v>
      </c>
      <c r="I308" s="7">
        <v>37.700000000000003</v>
      </c>
      <c r="J308" s="7">
        <v>2.99</v>
      </c>
      <c r="K308" s="2" t="s">
        <v>770</v>
      </c>
      <c r="L308" s="16" t="s">
        <v>921</v>
      </c>
      <c r="M308" s="16" t="s">
        <v>921</v>
      </c>
      <c r="N308" s="2" t="s">
        <v>566</v>
      </c>
      <c r="O308" s="2" t="s">
        <v>568</v>
      </c>
      <c r="P308" s="2" t="s">
        <v>88</v>
      </c>
      <c r="Q308" s="1" t="s">
        <v>743</v>
      </c>
      <c r="R308" s="2" t="s">
        <v>585</v>
      </c>
      <c r="S308" s="8">
        <f>B308+2</f>
        <v>40670</v>
      </c>
    </row>
    <row r="309" spans="1:19" x14ac:dyDescent="0.15">
      <c r="A309" s="1">
        <v>23652</v>
      </c>
      <c r="B309" s="6">
        <f>DATE(2012,12,31)-1219</f>
        <v>40055</v>
      </c>
      <c r="C309" s="2" t="s">
        <v>915</v>
      </c>
      <c r="D309" s="1">
        <v>27</v>
      </c>
      <c r="E309" s="1">
        <v>305.48</v>
      </c>
      <c r="F309" s="1">
        <v>0.1</v>
      </c>
      <c r="G309" s="2" t="s">
        <v>560</v>
      </c>
      <c r="H309" s="10">
        <v>47.14</v>
      </c>
      <c r="I309" s="7">
        <v>11.55</v>
      </c>
      <c r="J309" s="7">
        <v>2.36</v>
      </c>
      <c r="K309" s="2" t="s">
        <v>833</v>
      </c>
      <c r="L309" s="16" t="s">
        <v>921</v>
      </c>
      <c r="M309" s="16" t="s">
        <v>921</v>
      </c>
      <c r="N309" s="2" t="s">
        <v>565</v>
      </c>
      <c r="O309" s="2" t="s">
        <v>568</v>
      </c>
      <c r="P309" s="2" t="s">
        <v>571</v>
      </c>
      <c r="Q309" s="1" t="s">
        <v>179</v>
      </c>
      <c r="R309" s="2" t="s">
        <v>584</v>
      </c>
      <c r="S309" s="8">
        <f>B309+0</f>
        <v>40055</v>
      </c>
    </row>
    <row r="310" spans="1:19" x14ac:dyDescent="0.15">
      <c r="A310" s="1">
        <v>23680</v>
      </c>
      <c r="B310" s="6">
        <f>DATE(2012,12,31)-786</f>
        <v>40488</v>
      </c>
      <c r="C310" s="2" t="s">
        <v>915</v>
      </c>
      <c r="D310" s="1">
        <v>8</v>
      </c>
      <c r="E310" s="1">
        <v>2029.4960000000001</v>
      </c>
      <c r="F310" s="1">
        <v>0.1</v>
      </c>
      <c r="G310" s="2" t="s">
        <v>562</v>
      </c>
      <c r="H310" s="10">
        <v>251.64</v>
      </c>
      <c r="I310" s="7">
        <v>320.64</v>
      </c>
      <c r="J310" s="7">
        <v>43.57</v>
      </c>
      <c r="K310" s="2" t="s">
        <v>765</v>
      </c>
      <c r="L310" s="16" t="s">
        <v>921</v>
      </c>
      <c r="M310" s="16" t="s">
        <v>921</v>
      </c>
      <c r="N310" s="2" t="s">
        <v>566</v>
      </c>
      <c r="O310" s="2" t="s">
        <v>570</v>
      </c>
      <c r="P310" s="2" t="s">
        <v>578</v>
      </c>
      <c r="Q310" s="1" t="s">
        <v>392</v>
      </c>
      <c r="R310" s="2" t="s">
        <v>588</v>
      </c>
      <c r="S310" s="8">
        <f>B310+1</f>
        <v>40489</v>
      </c>
    </row>
    <row r="311" spans="1:19" x14ac:dyDescent="0.15">
      <c r="A311" s="1">
        <v>23719</v>
      </c>
      <c r="B311" s="6">
        <f>DATE(2012,12,31)-890</f>
        <v>40384</v>
      </c>
      <c r="C311" s="2" t="s">
        <v>917</v>
      </c>
      <c r="D311" s="1">
        <v>17</v>
      </c>
      <c r="E311" s="1">
        <v>122.74</v>
      </c>
      <c r="F311" s="1">
        <v>0.08</v>
      </c>
      <c r="G311" s="2" t="s">
        <v>560</v>
      </c>
      <c r="H311" s="10">
        <v>-28.13</v>
      </c>
      <c r="I311" s="7">
        <v>7.28</v>
      </c>
      <c r="J311" s="7">
        <v>5.47</v>
      </c>
      <c r="K311" s="2" t="s">
        <v>767</v>
      </c>
      <c r="L311" s="16" t="s">
        <v>921</v>
      </c>
      <c r="M311" s="16" t="s">
        <v>921</v>
      </c>
      <c r="N311" s="2" t="s">
        <v>566</v>
      </c>
      <c r="O311" s="2" t="s">
        <v>568</v>
      </c>
      <c r="P311" s="2" t="s">
        <v>573</v>
      </c>
      <c r="Q311" s="1" t="s">
        <v>263</v>
      </c>
      <c r="R311" s="2" t="s">
        <v>585</v>
      </c>
      <c r="S311" s="8">
        <f>B311+2</f>
        <v>40386</v>
      </c>
    </row>
    <row r="312" spans="1:19" x14ac:dyDescent="0.15">
      <c r="A312" s="1">
        <v>23778</v>
      </c>
      <c r="B312" s="6">
        <f>DATE(2012,12,31)-1267</f>
        <v>40007</v>
      </c>
      <c r="C312" s="2" t="s">
        <v>916</v>
      </c>
      <c r="D312" s="1">
        <v>13</v>
      </c>
      <c r="E312" s="1">
        <v>105.94</v>
      </c>
      <c r="F312" s="1">
        <v>0.06</v>
      </c>
      <c r="G312" s="2" t="s">
        <v>560</v>
      </c>
      <c r="H312" s="10">
        <v>-566</v>
      </c>
      <c r="I312" s="7">
        <v>4.4800000000000004</v>
      </c>
      <c r="J312" s="7">
        <v>49</v>
      </c>
      <c r="K312" s="2" t="s">
        <v>877</v>
      </c>
      <c r="L312" s="16" t="s">
        <v>921</v>
      </c>
      <c r="M312" s="16" t="s">
        <v>921</v>
      </c>
      <c r="N312" s="2" t="s">
        <v>567</v>
      </c>
      <c r="O312" s="2" t="s">
        <v>568</v>
      </c>
      <c r="P312" s="2" t="s">
        <v>576</v>
      </c>
      <c r="Q312" s="1" t="s">
        <v>296</v>
      </c>
      <c r="R312" s="2" t="s">
        <v>590</v>
      </c>
      <c r="S312" s="8">
        <f>B312+4</f>
        <v>40011</v>
      </c>
    </row>
    <row r="313" spans="1:19" x14ac:dyDescent="0.15">
      <c r="A313" s="1">
        <v>23808</v>
      </c>
      <c r="B313" s="6">
        <f>DATE(2012,12,31)-1423</f>
        <v>39851</v>
      </c>
      <c r="C313" s="2" t="s">
        <v>916</v>
      </c>
      <c r="D313" s="1">
        <v>30</v>
      </c>
      <c r="E313" s="1">
        <v>630.14</v>
      </c>
      <c r="F313" s="1">
        <v>0.04</v>
      </c>
      <c r="G313" s="2" t="s">
        <v>560</v>
      </c>
      <c r="H313" s="10">
        <v>108</v>
      </c>
      <c r="I313" s="7">
        <v>19.98</v>
      </c>
      <c r="J313" s="7">
        <v>8.68</v>
      </c>
      <c r="K313" s="2" t="s">
        <v>807</v>
      </c>
      <c r="L313" s="16" t="s">
        <v>921</v>
      </c>
      <c r="M313" s="16" t="s">
        <v>921</v>
      </c>
      <c r="N313" s="2" t="s">
        <v>566</v>
      </c>
      <c r="O313" s="2" t="s">
        <v>568</v>
      </c>
      <c r="P313" s="2" t="s">
        <v>573</v>
      </c>
      <c r="Q313" s="1" t="s">
        <v>439</v>
      </c>
      <c r="R313" s="2" t="s">
        <v>585</v>
      </c>
      <c r="S313" s="8">
        <f>B313+7</f>
        <v>39858</v>
      </c>
    </row>
    <row r="314" spans="1:19" x14ac:dyDescent="0.15">
      <c r="A314" s="1">
        <v>23808</v>
      </c>
      <c r="B314" s="6">
        <f>DATE(2012,12,31)-1423</f>
        <v>39851</v>
      </c>
      <c r="C314" s="2" t="s">
        <v>916</v>
      </c>
      <c r="D314" s="1">
        <v>28</v>
      </c>
      <c r="E314" s="1">
        <v>2813.8484999999996</v>
      </c>
      <c r="F314" s="1">
        <v>0.08</v>
      </c>
      <c r="G314" s="2" t="s">
        <v>560</v>
      </c>
      <c r="H314" s="10">
        <v>377.154</v>
      </c>
      <c r="I314" s="7">
        <v>125.99</v>
      </c>
      <c r="J314" s="7">
        <v>7.69</v>
      </c>
      <c r="K314" s="2" t="s">
        <v>807</v>
      </c>
      <c r="L314" s="16" t="s">
        <v>921</v>
      </c>
      <c r="M314" s="16" t="s">
        <v>921</v>
      </c>
      <c r="N314" s="2" t="s">
        <v>566</v>
      </c>
      <c r="O314" s="2" t="s">
        <v>569</v>
      </c>
      <c r="P314" s="2" t="s">
        <v>87</v>
      </c>
      <c r="Q314" s="1" t="s">
        <v>515</v>
      </c>
      <c r="R314" s="2" t="s">
        <v>585</v>
      </c>
      <c r="S314" s="8">
        <f>B314+2</f>
        <v>39853</v>
      </c>
    </row>
    <row r="315" spans="1:19" x14ac:dyDescent="0.15">
      <c r="A315" s="1">
        <v>23877</v>
      </c>
      <c r="B315" s="6">
        <f>DATE(2012,12,31)-1268</f>
        <v>40006</v>
      </c>
      <c r="C315" s="2" t="s">
        <v>915</v>
      </c>
      <c r="D315" s="1">
        <v>31</v>
      </c>
      <c r="E315" s="1">
        <v>1624.5964999999999</v>
      </c>
      <c r="F315" s="1">
        <v>7.0000000000000007E-2</v>
      </c>
      <c r="G315" s="2" t="s">
        <v>560</v>
      </c>
      <c r="H315" s="10">
        <v>109.83600000000001</v>
      </c>
      <c r="I315" s="7">
        <v>65.989999999999995</v>
      </c>
      <c r="J315" s="7">
        <v>8.8000000000000007</v>
      </c>
      <c r="K315" s="2" t="s">
        <v>805</v>
      </c>
      <c r="L315" s="16" t="s">
        <v>921</v>
      </c>
      <c r="M315" s="16" t="s">
        <v>921</v>
      </c>
      <c r="N315" s="2" t="s">
        <v>564</v>
      </c>
      <c r="O315" s="2" t="s">
        <v>569</v>
      </c>
      <c r="P315" s="2" t="s">
        <v>87</v>
      </c>
      <c r="Q315" s="1" t="s">
        <v>134</v>
      </c>
      <c r="R315" s="2" t="s">
        <v>585</v>
      </c>
      <c r="S315" s="8">
        <f>B315+0</f>
        <v>40006</v>
      </c>
    </row>
    <row r="316" spans="1:19" x14ac:dyDescent="0.15">
      <c r="A316" s="1">
        <v>23877</v>
      </c>
      <c r="B316" s="6">
        <f>DATE(2012,12,31)-1268</f>
        <v>40006</v>
      </c>
      <c r="C316" s="2" t="s">
        <v>915</v>
      </c>
      <c r="D316" s="1">
        <v>35</v>
      </c>
      <c r="E316" s="1">
        <v>381.36</v>
      </c>
      <c r="F316" s="1">
        <v>0</v>
      </c>
      <c r="G316" s="2" t="s">
        <v>561</v>
      </c>
      <c r="H316" s="10">
        <v>128.03</v>
      </c>
      <c r="I316" s="7">
        <v>10.01</v>
      </c>
      <c r="J316" s="7">
        <v>1.99</v>
      </c>
      <c r="K316" s="2" t="s">
        <v>805</v>
      </c>
      <c r="L316" s="16" t="s">
        <v>921</v>
      </c>
      <c r="M316" s="16" t="s">
        <v>921</v>
      </c>
      <c r="N316" s="2" t="s">
        <v>564</v>
      </c>
      <c r="O316" s="2" t="s">
        <v>569</v>
      </c>
      <c r="P316" s="2" t="s">
        <v>572</v>
      </c>
      <c r="Q316" s="1" t="s">
        <v>331</v>
      </c>
      <c r="R316" s="2" t="s">
        <v>587</v>
      </c>
      <c r="S316" s="8">
        <f>B316+2</f>
        <v>40008</v>
      </c>
    </row>
    <row r="317" spans="1:19" x14ac:dyDescent="0.15">
      <c r="A317" s="1">
        <v>24003</v>
      </c>
      <c r="B317" s="6">
        <f>DATE(2012,12,31)-1157</f>
        <v>40117</v>
      </c>
      <c r="C317" s="2" t="s">
        <v>917</v>
      </c>
      <c r="D317" s="1">
        <v>9</v>
      </c>
      <c r="E317" s="1">
        <v>11.89</v>
      </c>
      <c r="F317" s="1">
        <v>0.06</v>
      </c>
      <c r="G317" s="2" t="s">
        <v>560</v>
      </c>
      <c r="H317" s="10">
        <v>-6.12</v>
      </c>
      <c r="I317" s="7">
        <v>1.26</v>
      </c>
      <c r="J317" s="7">
        <v>0.7</v>
      </c>
      <c r="K317" s="2" t="s">
        <v>852</v>
      </c>
      <c r="L317" s="16" t="s">
        <v>921</v>
      </c>
      <c r="M317" s="16" t="s">
        <v>921</v>
      </c>
      <c r="N317" s="2" t="s">
        <v>567</v>
      </c>
      <c r="O317" s="2" t="s">
        <v>568</v>
      </c>
      <c r="P317" s="2" t="s">
        <v>580</v>
      </c>
      <c r="Q317" s="1" t="s">
        <v>430</v>
      </c>
      <c r="R317" s="2" t="s">
        <v>584</v>
      </c>
      <c r="S317" s="8">
        <f>B317+0</f>
        <v>40117</v>
      </c>
    </row>
    <row r="318" spans="1:19" x14ac:dyDescent="0.15">
      <c r="A318" s="1">
        <v>24548</v>
      </c>
      <c r="B318" s="6">
        <f>DATE(2012,12,31)-658</f>
        <v>40616</v>
      </c>
      <c r="C318" s="2" t="s">
        <v>913</v>
      </c>
      <c r="D318" s="1">
        <v>32</v>
      </c>
      <c r="E318" s="1">
        <v>269.3</v>
      </c>
      <c r="F318" s="1">
        <v>0.04</v>
      </c>
      <c r="G318" s="2" t="s">
        <v>561</v>
      </c>
      <c r="H318" s="10">
        <v>22.38</v>
      </c>
      <c r="I318" s="7">
        <v>7.96</v>
      </c>
      <c r="J318" s="7">
        <v>4.95</v>
      </c>
      <c r="K318" s="2" t="s">
        <v>403</v>
      </c>
      <c r="L318" s="16" t="s">
        <v>921</v>
      </c>
      <c r="M318" s="16" t="s">
        <v>921</v>
      </c>
      <c r="N318" s="2" t="s">
        <v>567</v>
      </c>
      <c r="O318" s="2" t="s">
        <v>570</v>
      </c>
      <c r="P318" s="2" t="s">
        <v>579</v>
      </c>
      <c r="Q318" s="1" t="s">
        <v>318</v>
      </c>
      <c r="R318" s="2" t="s">
        <v>585</v>
      </c>
      <c r="S318" s="8">
        <f>B318+1</f>
        <v>40617</v>
      </c>
    </row>
    <row r="319" spans="1:19" x14ac:dyDescent="0.15">
      <c r="A319" s="1">
        <v>24610</v>
      </c>
      <c r="B319" s="6">
        <f>DATE(2012,12,31)-1078</f>
        <v>40196</v>
      </c>
      <c r="C319" s="2" t="s">
        <v>915</v>
      </c>
      <c r="D319" s="1">
        <v>4</v>
      </c>
      <c r="E319" s="1">
        <v>883.31</v>
      </c>
      <c r="F319" s="1">
        <v>0.01</v>
      </c>
      <c r="G319" s="2" t="s">
        <v>562</v>
      </c>
      <c r="H319" s="10">
        <v>-79.959999999999994</v>
      </c>
      <c r="I319" s="7">
        <v>200.98</v>
      </c>
      <c r="J319" s="7">
        <v>23.76</v>
      </c>
      <c r="K319" s="2" t="s">
        <v>830</v>
      </c>
      <c r="L319" s="16" t="s">
        <v>921</v>
      </c>
      <c r="M319" s="16" t="s">
        <v>921</v>
      </c>
      <c r="N319" s="2" t="s">
        <v>564</v>
      </c>
      <c r="O319" s="2" t="s">
        <v>570</v>
      </c>
      <c r="P319" s="2" t="s">
        <v>574</v>
      </c>
      <c r="Q319" s="1" t="s">
        <v>84</v>
      </c>
      <c r="R319" s="2" t="s">
        <v>586</v>
      </c>
      <c r="S319" s="8">
        <f t="shared" ref="S319:S325" si="3">B319+2</f>
        <v>40198</v>
      </c>
    </row>
    <row r="320" spans="1:19" x14ac:dyDescent="0.15">
      <c r="A320" s="1">
        <v>24677</v>
      </c>
      <c r="B320" s="6">
        <f>DATE(2012,12,31)-301</f>
        <v>40973</v>
      </c>
      <c r="C320" s="2" t="s">
        <v>916</v>
      </c>
      <c r="D320" s="1">
        <v>44</v>
      </c>
      <c r="E320" s="1">
        <v>364.4</v>
      </c>
      <c r="F320" s="1">
        <v>0.05</v>
      </c>
      <c r="G320" s="2" t="s">
        <v>560</v>
      </c>
      <c r="H320" s="10">
        <v>51.08</v>
      </c>
      <c r="I320" s="7">
        <v>8.5</v>
      </c>
      <c r="J320" s="7">
        <v>1.99</v>
      </c>
      <c r="K320" s="2" t="s">
        <v>793</v>
      </c>
      <c r="L320" s="16" t="s">
        <v>921</v>
      </c>
      <c r="M320" s="16" t="s">
        <v>921</v>
      </c>
      <c r="N320" s="2" t="s">
        <v>566</v>
      </c>
      <c r="O320" s="2" t="s">
        <v>569</v>
      </c>
      <c r="P320" s="2" t="s">
        <v>572</v>
      </c>
      <c r="Q320" s="1" t="s">
        <v>696</v>
      </c>
      <c r="R320" s="2" t="s">
        <v>587</v>
      </c>
      <c r="S320" s="8">
        <f t="shared" si="3"/>
        <v>40975</v>
      </c>
    </row>
    <row r="321" spans="1:19" x14ac:dyDescent="0.15">
      <c r="A321" s="1">
        <v>25027</v>
      </c>
      <c r="B321" s="6">
        <f>DATE(2012,12,31)-1111</f>
        <v>40163</v>
      </c>
      <c r="C321" s="2" t="s">
        <v>914</v>
      </c>
      <c r="D321" s="1">
        <v>25</v>
      </c>
      <c r="E321" s="1">
        <v>3585.91</v>
      </c>
      <c r="F321" s="1">
        <v>0.06</v>
      </c>
      <c r="G321" s="2" t="s">
        <v>562</v>
      </c>
      <c r="H321" s="10">
        <v>-178.54</v>
      </c>
      <c r="I321" s="7">
        <v>146.34</v>
      </c>
      <c r="J321" s="7">
        <v>43.75</v>
      </c>
      <c r="K321" s="2" t="s">
        <v>812</v>
      </c>
      <c r="L321" s="16" t="s">
        <v>921</v>
      </c>
      <c r="M321" s="16" t="s">
        <v>921</v>
      </c>
      <c r="N321" s="2" t="s">
        <v>566</v>
      </c>
      <c r="O321" s="2" t="s">
        <v>570</v>
      </c>
      <c r="P321" s="2" t="s">
        <v>578</v>
      </c>
      <c r="Q321" s="1" t="s">
        <v>713</v>
      </c>
      <c r="R321" s="2" t="s">
        <v>588</v>
      </c>
      <c r="S321" s="8">
        <f t="shared" si="3"/>
        <v>40165</v>
      </c>
    </row>
    <row r="322" spans="1:19" x14ac:dyDescent="0.15">
      <c r="A322" s="1">
        <v>25157</v>
      </c>
      <c r="B322" s="6">
        <f>DATE(2012,12,31)-951</f>
        <v>40323</v>
      </c>
      <c r="C322" s="2" t="s">
        <v>915</v>
      </c>
      <c r="D322" s="1">
        <v>24</v>
      </c>
      <c r="E322" s="1">
        <v>545.38</v>
      </c>
      <c r="F322" s="1">
        <v>0.02</v>
      </c>
      <c r="G322" s="2" t="s">
        <v>560</v>
      </c>
      <c r="H322" s="10">
        <v>89.6</v>
      </c>
      <c r="I322" s="7">
        <v>22.84</v>
      </c>
      <c r="J322" s="7">
        <v>8.18</v>
      </c>
      <c r="K322" s="2" t="s">
        <v>879</v>
      </c>
      <c r="L322" s="16" t="s">
        <v>921</v>
      </c>
      <c r="M322" s="16" t="s">
        <v>921</v>
      </c>
      <c r="N322" s="2" t="s">
        <v>567</v>
      </c>
      <c r="O322" s="2" t="s">
        <v>568</v>
      </c>
      <c r="P322" s="2" t="s">
        <v>573</v>
      </c>
      <c r="Q322" s="1" t="s">
        <v>207</v>
      </c>
      <c r="R322" s="2" t="s">
        <v>585</v>
      </c>
      <c r="S322" s="8">
        <f t="shared" si="3"/>
        <v>40325</v>
      </c>
    </row>
    <row r="323" spans="1:19" x14ac:dyDescent="0.15">
      <c r="A323" s="1">
        <v>25378</v>
      </c>
      <c r="B323" s="6">
        <f>DATE(2012,12,31)-379</f>
        <v>40895</v>
      </c>
      <c r="C323" s="2" t="s">
        <v>915</v>
      </c>
      <c r="D323" s="1">
        <v>48</v>
      </c>
      <c r="E323" s="1">
        <v>3713.0124999999998</v>
      </c>
      <c r="F323" s="1">
        <v>0.09</v>
      </c>
      <c r="G323" s="2" t="s">
        <v>560</v>
      </c>
      <c r="H323" s="10">
        <v>803.601</v>
      </c>
      <c r="I323" s="7">
        <v>95.99</v>
      </c>
      <c r="J323" s="7">
        <v>7.69</v>
      </c>
      <c r="K323" s="2" t="s">
        <v>887</v>
      </c>
      <c r="L323" s="16" t="s">
        <v>921</v>
      </c>
      <c r="M323" s="16" t="s">
        <v>921</v>
      </c>
      <c r="N323" s="2" t="s">
        <v>567</v>
      </c>
      <c r="O323" s="2" t="s">
        <v>569</v>
      </c>
      <c r="P323" s="2" t="s">
        <v>87</v>
      </c>
      <c r="Q323" s="1" t="s">
        <v>214</v>
      </c>
      <c r="R323" s="2" t="s">
        <v>585</v>
      </c>
      <c r="S323" s="8">
        <f t="shared" si="3"/>
        <v>40897</v>
      </c>
    </row>
    <row r="324" spans="1:19" x14ac:dyDescent="0.15">
      <c r="A324" s="1">
        <v>25445</v>
      </c>
      <c r="B324" s="6">
        <f>DATE(2012,12,31)-1316</f>
        <v>39958</v>
      </c>
      <c r="C324" s="2" t="s">
        <v>916</v>
      </c>
      <c r="D324" s="1">
        <v>48</v>
      </c>
      <c r="E324" s="1">
        <v>1444</v>
      </c>
      <c r="F324" s="1">
        <v>0.08</v>
      </c>
      <c r="G324" s="2" t="s">
        <v>560</v>
      </c>
      <c r="H324" s="10">
        <v>617.0575</v>
      </c>
      <c r="I324" s="7">
        <v>30.56</v>
      </c>
      <c r="J324" s="7">
        <v>2.99</v>
      </c>
      <c r="K324" s="2" t="s">
        <v>839</v>
      </c>
      <c r="L324" s="16" t="s">
        <v>921</v>
      </c>
      <c r="M324" s="16" t="s">
        <v>921</v>
      </c>
      <c r="N324" s="2" t="s">
        <v>565</v>
      </c>
      <c r="O324" s="2" t="s">
        <v>568</v>
      </c>
      <c r="P324" s="2" t="s">
        <v>88</v>
      </c>
      <c r="Q324" s="1" t="s">
        <v>533</v>
      </c>
      <c r="R324" s="2" t="s">
        <v>585</v>
      </c>
      <c r="S324" s="8">
        <f t="shared" si="3"/>
        <v>39960</v>
      </c>
    </row>
    <row r="325" spans="1:19" x14ac:dyDescent="0.15">
      <c r="A325" s="1">
        <v>25476</v>
      </c>
      <c r="B325" s="6">
        <f>DATE(2012,12,31)-90</f>
        <v>41184</v>
      </c>
      <c r="C325" s="2" t="s">
        <v>915</v>
      </c>
      <c r="D325" s="1">
        <v>21</v>
      </c>
      <c r="E325" s="1">
        <v>676.69</v>
      </c>
      <c r="F325" s="1">
        <v>0.09</v>
      </c>
      <c r="G325" s="2" t="s">
        <v>560</v>
      </c>
      <c r="H325" s="10">
        <v>138.1</v>
      </c>
      <c r="I325" s="7">
        <v>35.409999999999997</v>
      </c>
      <c r="J325" s="7">
        <v>1.99</v>
      </c>
      <c r="K325" s="2" t="s">
        <v>818</v>
      </c>
      <c r="L325" s="16" t="s">
        <v>921</v>
      </c>
      <c r="M325" s="16" t="s">
        <v>921</v>
      </c>
      <c r="N325" s="2" t="s">
        <v>566</v>
      </c>
      <c r="O325" s="2" t="s">
        <v>569</v>
      </c>
      <c r="P325" s="2" t="s">
        <v>572</v>
      </c>
      <c r="Q325" s="1" t="s">
        <v>345</v>
      </c>
      <c r="R325" s="2" t="s">
        <v>587</v>
      </c>
      <c r="S325" s="8">
        <f t="shared" si="3"/>
        <v>41186</v>
      </c>
    </row>
    <row r="326" spans="1:19" x14ac:dyDescent="0.15">
      <c r="A326" s="1">
        <v>25476</v>
      </c>
      <c r="B326" s="6">
        <f>DATE(2012,12,31)-90</f>
        <v>41184</v>
      </c>
      <c r="C326" s="2" t="s">
        <v>915</v>
      </c>
      <c r="D326" s="1">
        <v>4</v>
      </c>
      <c r="E326" s="1">
        <v>13698.96</v>
      </c>
      <c r="F326" s="1">
        <v>0.05</v>
      </c>
      <c r="G326" s="2" t="s">
        <v>560</v>
      </c>
      <c r="H326" s="10">
        <v>-9078.94</v>
      </c>
      <c r="I326" s="7">
        <v>3499.99</v>
      </c>
      <c r="J326" s="7">
        <v>24.49</v>
      </c>
      <c r="K326" s="2" t="s">
        <v>818</v>
      </c>
      <c r="L326" s="16" t="s">
        <v>921</v>
      </c>
      <c r="M326" s="16" t="s">
        <v>921</v>
      </c>
      <c r="N326" s="2" t="s">
        <v>566</v>
      </c>
      <c r="O326" s="2" t="s">
        <v>569</v>
      </c>
      <c r="P326" s="2" t="s">
        <v>90</v>
      </c>
      <c r="Q326" s="1" t="s">
        <v>288</v>
      </c>
      <c r="R326" s="2" t="s">
        <v>590</v>
      </c>
      <c r="S326" s="8">
        <f>B326+1</f>
        <v>41185</v>
      </c>
    </row>
    <row r="327" spans="1:19" x14ac:dyDescent="0.15">
      <c r="A327" s="1">
        <v>25797</v>
      </c>
      <c r="B327" s="6">
        <f>DATE(2012,12,31)-121</f>
        <v>41153</v>
      </c>
      <c r="C327" s="2" t="s">
        <v>915</v>
      </c>
      <c r="D327" s="1">
        <v>28</v>
      </c>
      <c r="E327" s="1">
        <v>925.43</v>
      </c>
      <c r="F327" s="1">
        <v>0</v>
      </c>
      <c r="G327" s="2" t="s">
        <v>560</v>
      </c>
      <c r="H327" s="10">
        <v>368.86</v>
      </c>
      <c r="I327" s="7">
        <v>31.78</v>
      </c>
      <c r="J327" s="7">
        <v>1.99</v>
      </c>
      <c r="K327" s="2" t="s">
        <v>898</v>
      </c>
      <c r="L327" s="16" t="s">
        <v>921</v>
      </c>
      <c r="M327" s="16" t="s">
        <v>921</v>
      </c>
      <c r="N327" s="2" t="s">
        <v>567</v>
      </c>
      <c r="O327" s="2" t="s">
        <v>569</v>
      </c>
      <c r="P327" s="2" t="s">
        <v>572</v>
      </c>
      <c r="Q327" s="1" t="s">
        <v>437</v>
      </c>
      <c r="R327" s="2" t="s">
        <v>587</v>
      </c>
      <c r="S327" s="8">
        <f>B327+2</f>
        <v>41155</v>
      </c>
    </row>
    <row r="328" spans="1:19" x14ac:dyDescent="0.15">
      <c r="A328" s="1">
        <v>25889</v>
      </c>
      <c r="B328" s="6">
        <f>DATE(2012,12,31)-937</f>
        <v>40337</v>
      </c>
      <c r="C328" s="2" t="s">
        <v>916</v>
      </c>
      <c r="D328" s="1">
        <v>23</v>
      </c>
      <c r="E328" s="1">
        <v>321.63</v>
      </c>
      <c r="F328" s="1">
        <v>0.04</v>
      </c>
      <c r="G328" s="2" t="s">
        <v>560</v>
      </c>
      <c r="H328" s="10">
        <v>73.7</v>
      </c>
      <c r="I328" s="7">
        <v>14.34</v>
      </c>
      <c r="J328" s="7">
        <v>5</v>
      </c>
      <c r="K328" s="2" t="s">
        <v>775</v>
      </c>
      <c r="L328" s="16" t="s">
        <v>921</v>
      </c>
      <c r="M328" s="16" t="s">
        <v>921</v>
      </c>
      <c r="N328" s="2" t="s">
        <v>566</v>
      </c>
      <c r="O328" s="2" t="s">
        <v>570</v>
      </c>
      <c r="P328" s="2" t="s">
        <v>579</v>
      </c>
      <c r="Q328" s="1" t="s">
        <v>745</v>
      </c>
      <c r="R328" s="2" t="s">
        <v>587</v>
      </c>
      <c r="S328" s="8">
        <f>B328+2</f>
        <v>40339</v>
      </c>
    </row>
    <row r="329" spans="1:19" x14ac:dyDescent="0.15">
      <c r="A329" s="1">
        <v>25986</v>
      </c>
      <c r="B329" s="6">
        <f>DATE(2012,12,31)-192</f>
        <v>41082</v>
      </c>
      <c r="C329" s="2" t="s">
        <v>914</v>
      </c>
      <c r="D329" s="1">
        <v>48</v>
      </c>
      <c r="E329" s="1">
        <v>278.07</v>
      </c>
      <c r="F329" s="1">
        <v>0.08</v>
      </c>
      <c r="G329" s="2" t="s">
        <v>560</v>
      </c>
      <c r="H329" s="10">
        <v>-71.45</v>
      </c>
      <c r="I329" s="7">
        <v>5.78</v>
      </c>
      <c r="J329" s="7">
        <v>4.96</v>
      </c>
      <c r="K329" s="2" t="s">
        <v>854</v>
      </c>
      <c r="L329" s="16" t="s">
        <v>921</v>
      </c>
      <c r="M329" s="16" t="s">
        <v>921</v>
      </c>
      <c r="N329" s="2" t="s">
        <v>566</v>
      </c>
      <c r="O329" s="2" t="s">
        <v>568</v>
      </c>
      <c r="P329" s="2" t="s">
        <v>573</v>
      </c>
      <c r="Q329" s="1" t="s">
        <v>485</v>
      </c>
      <c r="R329" s="2" t="s">
        <v>585</v>
      </c>
      <c r="S329" s="8">
        <f>B329+1</f>
        <v>41083</v>
      </c>
    </row>
    <row r="330" spans="1:19" x14ac:dyDescent="0.15">
      <c r="A330" s="1">
        <v>26021</v>
      </c>
      <c r="B330" s="6">
        <f>DATE(2012,12,31)-108</f>
        <v>41166</v>
      </c>
      <c r="C330" s="2" t="s">
        <v>917</v>
      </c>
      <c r="D330" s="1">
        <v>17</v>
      </c>
      <c r="E330" s="1">
        <v>328.62700000000001</v>
      </c>
      <c r="F330" s="1">
        <v>0</v>
      </c>
      <c r="G330" s="2" t="s">
        <v>560</v>
      </c>
      <c r="H330" s="10">
        <v>-7.766</v>
      </c>
      <c r="I330" s="7">
        <v>20.99</v>
      </c>
      <c r="J330" s="7">
        <v>4.8099999999999996</v>
      </c>
      <c r="K330" s="2" t="s">
        <v>805</v>
      </c>
      <c r="L330" s="16" t="s">
        <v>921</v>
      </c>
      <c r="M330" s="16" t="s">
        <v>921</v>
      </c>
      <c r="N330" s="2" t="s">
        <v>566</v>
      </c>
      <c r="O330" s="2" t="s">
        <v>569</v>
      </c>
      <c r="P330" s="2" t="s">
        <v>87</v>
      </c>
      <c r="Q330" s="1" t="s">
        <v>424</v>
      </c>
      <c r="R330" s="2" t="s">
        <v>589</v>
      </c>
      <c r="S330" s="8">
        <f>B330+2</f>
        <v>41168</v>
      </c>
    </row>
    <row r="331" spans="1:19" x14ac:dyDescent="0.15">
      <c r="A331" s="1">
        <v>26055</v>
      </c>
      <c r="B331" s="6">
        <f>DATE(2012,12,31)-36</f>
        <v>41238</v>
      </c>
      <c r="C331" s="2" t="s">
        <v>915</v>
      </c>
      <c r="D331" s="1">
        <v>46</v>
      </c>
      <c r="E331" s="1">
        <v>6733.52</v>
      </c>
      <c r="F331" s="1">
        <v>0.04</v>
      </c>
      <c r="G331" s="2" t="s">
        <v>560</v>
      </c>
      <c r="H331" s="10">
        <v>246</v>
      </c>
      <c r="I331" s="7">
        <v>152.47999999999999</v>
      </c>
      <c r="J331" s="7">
        <v>4</v>
      </c>
      <c r="K331" s="2" t="s">
        <v>760</v>
      </c>
      <c r="L331" s="16" t="s">
        <v>921</v>
      </c>
      <c r="M331" s="16" t="s">
        <v>921</v>
      </c>
      <c r="N331" s="2" t="s">
        <v>564</v>
      </c>
      <c r="O331" s="2" t="s">
        <v>569</v>
      </c>
      <c r="P331" s="2" t="s">
        <v>572</v>
      </c>
      <c r="Q331" s="1" t="s">
        <v>63</v>
      </c>
      <c r="R331" s="2" t="s">
        <v>585</v>
      </c>
      <c r="S331" s="8">
        <f>B331+1</f>
        <v>41239</v>
      </c>
    </row>
    <row r="332" spans="1:19" x14ac:dyDescent="0.15">
      <c r="A332" s="1">
        <v>26274</v>
      </c>
      <c r="B332" s="6">
        <f>DATE(2012,12,31)-202</f>
        <v>41072</v>
      </c>
      <c r="C332" s="2" t="s">
        <v>915</v>
      </c>
      <c r="D332" s="1">
        <v>41</v>
      </c>
      <c r="E332" s="1">
        <v>377.83</v>
      </c>
      <c r="F332" s="1">
        <v>0.06</v>
      </c>
      <c r="G332" s="2" t="s">
        <v>560</v>
      </c>
      <c r="H332" s="10">
        <v>122.06</v>
      </c>
      <c r="I332" s="7">
        <v>9.11</v>
      </c>
      <c r="J332" s="7">
        <v>2.15</v>
      </c>
      <c r="K332" s="2" t="s">
        <v>907</v>
      </c>
      <c r="L332" s="16" t="s">
        <v>921</v>
      </c>
      <c r="M332" s="16" t="s">
        <v>921</v>
      </c>
      <c r="N332" s="2" t="s">
        <v>567</v>
      </c>
      <c r="O332" s="2" t="s">
        <v>568</v>
      </c>
      <c r="P332" s="2" t="s">
        <v>573</v>
      </c>
      <c r="Q332" s="1" t="s">
        <v>404</v>
      </c>
      <c r="R332" s="2" t="s">
        <v>584</v>
      </c>
      <c r="S332" s="8">
        <f>B332+1</f>
        <v>41073</v>
      </c>
    </row>
    <row r="333" spans="1:19" x14ac:dyDescent="0.15">
      <c r="A333" s="1">
        <v>26306</v>
      </c>
      <c r="B333" s="6">
        <f>DATE(2012,12,31)-62</f>
        <v>41212</v>
      </c>
      <c r="C333" s="2" t="s">
        <v>916</v>
      </c>
      <c r="D333" s="1">
        <v>39</v>
      </c>
      <c r="E333" s="1">
        <v>7725.66</v>
      </c>
      <c r="F333" s="1">
        <v>0.05</v>
      </c>
      <c r="G333" s="2" t="s">
        <v>562</v>
      </c>
      <c r="H333" s="10">
        <v>-737.41</v>
      </c>
      <c r="I333" s="7">
        <v>200.98</v>
      </c>
      <c r="J333" s="7">
        <v>55.96</v>
      </c>
      <c r="K333" s="2" t="s">
        <v>819</v>
      </c>
      <c r="L333" s="16" t="s">
        <v>921</v>
      </c>
      <c r="M333" s="16" t="s">
        <v>921</v>
      </c>
      <c r="N333" s="2" t="s">
        <v>567</v>
      </c>
      <c r="O333" s="2" t="s">
        <v>570</v>
      </c>
      <c r="P333" s="2" t="s">
        <v>581</v>
      </c>
      <c r="Q333" s="1" t="s">
        <v>272</v>
      </c>
      <c r="R333" s="2" t="s">
        <v>588</v>
      </c>
      <c r="S333" s="8">
        <f>B333+4</f>
        <v>41216</v>
      </c>
    </row>
    <row r="334" spans="1:19" x14ac:dyDescent="0.15">
      <c r="A334" s="1">
        <v>26437</v>
      </c>
      <c r="B334" s="6">
        <f>DATE(2012,12,31)-399</f>
        <v>40875</v>
      </c>
      <c r="C334" s="2" t="s">
        <v>917</v>
      </c>
      <c r="D334" s="1">
        <v>4</v>
      </c>
      <c r="E334" s="1">
        <v>52.43</v>
      </c>
      <c r="F334" s="1">
        <v>0.03</v>
      </c>
      <c r="G334" s="2" t="s">
        <v>561</v>
      </c>
      <c r="H334" s="10">
        <v>-12.98</v>
      </c>
      <c r="I334" s="7">
        <v>9.65</v>
      </c>
      <c r="J334" s="7">
        <v>6.22</v>
      </c>
      <c r="K334" s="2" t="s">
        <v>833</v>
      </c>
      <c r="L334" s="16" t="s">
        <v>921</v>
      </c>
      <c r="M334" s="16" t="s">
        <v>921</v>
      </c>
      <c r="N334" s="2" t="s">
        <v>567</v>
      </c>
      <c r="O334" s="2" t="s">
        <v>570</v>
      </c>
      <c r="P334" s="2" t="s">
        <v>579</v>
      </c>
      <c r="Q334" s="1" t="s">
        <v>182</v>
      </c>
      <c r="R334" s="2" t="s">
        <v>585</v>
      </c>
      <c r="S334" s="8">
        <f>B334+1</f>
        <v>40876</v>
      </c>
    </row>
    <row r="335" spans="1:19" x14ac:dyDescent="0.15">
      <c r="A335" s="1">
        <v>26437</v>
      </c>
      <c r="B335" s="6">
        <f>DATE(2012,12,31)-399</f>
        <v>40875</v>
      </c>
      <c r="C335" s="2" t="s">
        <v>917</v>
      </c>
      <c r="D335" s="1">
        <v>48</v>
      </c>
      <c r="E335" s="1">
        <v>254.51</v>
      </c>
      <c r="F335" s="1">
        <v>0.08</v>
      </c>
      <c r="G335" s="2" t="s">
        <v>560</v>
      </c>
      <c r="H335" s="10">
        <v>49.05</v>
      </c>
      <c r="I335" s="7">
        <v>5.58</v>
      </c>
      <c r="J335" s="7">
        <v>0.7</v>
      </c>
      <c r="K335" s="2" t="s">
        <v>833</v>
      </c>
      <c r="L335" s="16" t="s">
        <v>921</v>
      </c>
      <c r="M335" s="16" t="s">
        <v>921</v>
      </c>
      <c r="N335" s="2" t="s">
        <v>567</v>
      </c>
      <c r="O335" s="2" t="s">
        <v>568</v>
      </c>
      <c r="P335" s="2" t="s">
        <v>571</v>
      </c>
      <c r="Q335" s="1" t="s">
        <v>50</v>
      </c>
      <c r="R335" s="2" t="s">
        <v>584</v>
      </c>
      <c r="S335" s="8">
        <f>B335+2</f>
        <v>40877</v>
      </c>
    </row>
    <row r="336" spans="1:19" x14ac:dyDescent="0.15">
      <c r="A336" s="1">
        <v>26464</v>
      </c>
      <c r="B336" s="6">
        <f>DATE(2012,12,31)-386</f>
        <v>40888</v>
      </c>
      <c r="C336" s="2" t="s">
        <v>913</v>
      </c>
      <c r="D336" s="1">
        <v>25</v>
      </c>
      <c r="E336" s="1">
        <v>268.58</v>
      </c>
      <c r="F336" s="1">
        <v>0.03</v>
      </c>
      <c r="G336" s="2" t="s">
        <v>560</v>
      </c>
      <c r="H336" s="10">
        <v>-26.33</v>
      </c>
      <c r="I336" s="7">
        <v>10.89</v>
      </c>
      <c r="J336" s="7">
        <v>4.5</v>
      </c>
      <c r="K336" s="2" t="s">
        <v>826</v>
      </c>
      <c r="L336" s="16" t="s">
        <v>921</v>
      </c>
      <c r="M336" s="16" t="s">
        <v>921</v>
      </c>
      <c r="N336" s="2" t="s">
        <v>567</v>
      </c>
      <c r="O336" s="2" t="s">
        <v>568</v>
      </c>
      <c r="P336" s="2" t="s">
        <v>576</v>
      </c>
      <c r="Q336" s="1" t="s">
        <v>657</v>
      </c>
      <c r="R336" s="2" t="s">
        <v>585</v>
      </c>
      <c r="S336" s="8">
        <f>B336+0</f>
        <v>40888</v>
      </c>
    </row>
    <row r="337" spans="1:19" x14ac:dyDescent="0.15">
      <c r="A337" s="1">
        <v>26464</v>
      </c>
      <c r="B337" s="6">
        <f>DATE(2012,12,31)-386</f>
        <v>40888</v>
      </c>
      <c r="C337" s="2" t="s">
        <v>913</v>
      </c>
      <c r="D337" s="1">
        <v>26</v>
      </c>
      <c r="E337" s="1">
        <v>1280.6500000000001</v>
      </c>
      <c r="F337" s="1">
        <v>0.06</v>
      </c>
      <c r="G337" s="2" t="s">
        <v>560</v>
      </c>
      <c r="H337" s="10">
        <v>75.36</v>
      </c>
      <c r="I337" s="7">
        <v>50.98</v>
      </c>
      <c r="J337" s="7">
        <v>22.24</v>
      </c>
      <c r="K337" s="2" t="s">
        <v>826</v>
      </c>
      <c r="L337" s="16" t="s">
        <v>921</v>
      </c>
      <c r="M337" s="16" t="s">
        <v>921</v>
      </c>
      <c r="N337" s="2" t="s">
        <v>567</v>
      </c>
      <c r="O337" s="2" t="s">
        <v>570</v>
      </c>
      <c r="P337" s="2" t="s">
        <v>579</v>
      </c>
      <c r="Q337" s="1" t="s">
        <v>199</v>
      </c>
      <c r="R337" s="2" t="s">
        <v>590</v>
      </c>
      <c r="S337" s="8">
        <f>B337+1</f>
        <v>40889</v>
      </c>
    </row>
    <row r="338" spans="1:19" x14ac:dyDescent="0.15">
      <c r="A338" s="1">
        <v>26631</v>
      </c>
      <c r="B338" s="6">
        <f>DATE(2012,12,31)-791</f>
        <v>40483</v>
      </c>
      <c r="C338" s="2" t="s">
        <v>917</v>
      </c>
      <c r="D338" s="1">
        <v>37</v>
      </c>
      <c r="E338" s="1">
        <v>231.65</v>
      </c>
      <c r="F338" s="1">
        <v>0</v>
      </c>
      <c r="G338" s="2" t="s">
        <v>560</v>
      </c>
      <c r="H338" s="10">
        <v>-241.28</v>
      </c>
      <c r="I338" s="7">
        <v>5.98</v>
      </c>
      <c r="J338" s="7">
        <v>10.39</v>
      </c>
      <c r="K338" s="2" t="s">
        <v>873</v>
      </c>
      <c r="L338" s="16" t="s">
        <v>921</v>
      </c>
      <c r="M338" s="16" t="s">
        <v>921</v>
      </c>
      <c r="N338" s="2" t="s">
        <v>567</v>
      </c>
      <c r="O338" s="2" t="s">
        <v>568</v>
      </c>
      <c r="P338" s="2" t="s">
        <v>573</v>
      </c>
      <c r="Q338" s="1" t="s">
        <v>191</v>
      </c>
      <c r="R338" s="2" t="s">
        <v>585</v>
      </c>
      <c r="S338" s="8">
        <f>B338+0</f>
        <v>40483</v>
      </c>
    </row>
    <row r="339" spans="1:19" x14ac:dyDescent="0.15">
      <c r="A339" s="1">
        <v>26689</v>
      </c>
      <c r="B339" s="6">
        <f>DATE(2012,12,31)-1189</f>
        <v>40085</v>
      </c>
      <c r="C339" s="2" t="s">
        <v>913</v>
      </c>
      <c r="D339" s="1">
        <v>2</v>
      </c>
      <c r="E339" s="1">
        <v>198.44</v>
      </c>
      <c r="F339" s="1">
        <v>0.01</v>
      </c>
      <c r="G339" s="2" t="s">
        <v>560</v>
      </c>
      <c r="H339" s="10">
        <v>-87.46</v>
      </c>
      <c r="I339" s="7">
        <v>99.23</v>
      </c>
      <c r="J339" s="7">
        <v>8.99</v>
      </c>
      <c r="K339" s="2" t="s">
        <v>826</v>
      </c>
      <c r="L339" s="16" t="s">
        <v>921</v>
      </c>
      <c r="M339" s="16" t="s">
        <v>921</v>
      </c>
      <c r="N339" s="2" t="s">
        <v>567</v>
      </c>
      <c r="O339" s="2" t="s">
        <v>570</v>
      </c>
      <c r="P339" s="2" t="s">
        <v>579</v>
      </c>
      <c r="Q339" s="1" t="s">
        <v>435</v>
      </c>
      <c r="R339" s="2" t="s">
        <v>587</v>
      </c>
      <c r="S339" s="8">
        <f>B339+3</f>
        <v>40088</v>
      </c>
    </row>
    <row r="340" spans="1:19" x14ac:dyDescent="0.15">
      <c r="A340" s="1">
        <v>26786</v>
      </c>
      <c r="B340" s="6">
        <f>DATE(2012,12,31)-999</f>
        <v>40275</v>
      </c>
      <c r="C340" s="2" t="s">
        <v>914</v>
      </c>
      <c r="D340" s="1">
        <v>29</v>
      </c>
      <c r="E340" s="1">
        <v>296.94</v>
      </c>
      <c r="F340" s="1">
        <v>0.08</v>
      </c>
      <c r="G340" s="2" t="s">
        <v>560</v>
      </c>
      <c r="H340" s="10">
        <v>-25.41</v>
      </c>
      <c r="I340" s="7">
        <v>10.98</v>
      </c>
      <c r="J340" s="7">
        <v>3.99</v>
      </c>
      <c r="K340" s="2" t="s">
        <v>794</v>
      </c>
      <c r="L340" s="16" t="s">
        <v>921</v>
      </c>
      <c r="M340" s="16" t="s">
        <v>921</v>
      </c>
      <c r="N340" s="2" t="s">
        <v>567</v>
      </c>
      <c r="O340" s="2" t="s">
        <v>568</v>
      </c>
      <c r="P340" s="2" t="s">
        <v>576</v>
      </c>
      <c r="Q340" s="1" t="s">
        <v>411</v>
      </c>
      <c r="R340" s="2" t="s">
        <v>585</v>
      </c>
      <c r="S340" s="8">
        <f>B340+1</f>
        <v>40276</v>
      </c>
    </row>
    <row r="341" spans="1:19" x14ac:dyDescent="0.15">
      <c r="A341" s="1">
        <v>26976</v>
      </c>
      <c r="B341" s="6">
        <f>DATE(2012,12,31)-591</f>
        <v>40683</v>
      </c>
      <c r="C341" s="2" t="s">
        <v>915</v>
      </c>
      <c r="D341" s="1">
        <v>44</v>
      </c>
      <c r="E341" s="1">
        <v>729.75</v>
      </c>
      <c r="F341" s="1">
        <v>0.02</v>
      </c>
      <c r="G341" s="2" t="s">
        <v>560</v>
      </c>
      <c r="H341" s="10">
        <v>375.25</v>
      </c>
      <c r="I341" s="7">
        <v>15.67</v>
      </c>
      <c r="J341" s="7">
        <v>1.39</v>
      </c>
      <c r="K341" s="2" t="s">
        <v>849</v>
      </c>
      <c r="L341" s="16" t="s">
        <v>921</v>
      </c>
      <c r="M341" s="16" t="s">
        <v>921</v>
      </c>
      <c r="N341" s="2" t="s">
        <v>564</v>
      </c>
      <c r="O341" s="2" t="s">
        <v>568</v>
      </c>
      <c r="P341" s="2" t="s">
        <v>575</v>
      </c>
      <c r="Q341" s="1" t="s">
        <v>246</v>
      </c>
      <c r="R341" s="2" t="s">
        <v>585</v>
      </c>
      <c r="S341" s="8">
        <f>B341+1</f>
        <v>40684</v>
      </c>
    </row>
    <row r="342" spans="1:19" x14ac:dyDescent="0.15">
      <c r="A342" s="1">
        <v>26976</v>
      </c>
      <c r="B342" s="6">
        <f>DATE(2012,12,31)-591</f>
        <v>40683</v>
      </c>
      <c r="C342" s="2" t="s">
        <v>915</v>
      </c>
      <c r="D342" s="1">
        <v>28</v>
      </c>
      <c r="E342" s="1">
        <v>1417.21</v>
      </c>
      <c r="F342" s="1">
        <v>7.0000000000000007E-2</v>
      </c>
      <c r="G342" s="2" t="s">
        <v>560</v>
      </c>
      <c r="H342" s="10">
        <v>63.88</v>
      </c>
      <c r="I342" s="7">
        <v>51.65</v>
      </c>
      <c r="J342" s="7">
        <v>18.45</v>
      </c>
      <c r="K342" s="2" t="s">
        <v>849</v>
      </c>
      <c r="L342" s="16" t="s">
        <v>921</v>
      </c>
      <c r="M342" s="16" t="s">
        <v>921</v>
      </c>
      <c r="N342" s="2" t="s">
        <v>564</v>
      </c>
      <c r="O342" s="2" t="s">
        <v>570</v>
      </c>
      <c r="P342" s="2" t="s">
        <v>579</v>
      </c>
      <c r="Q342" s="1" t="s">
        <v>740</v>
      </c>
      <c r="R342" s="2" t="s">
        <v>589</v>
      </c>
      <c r="S342" s="8">
        <f>B342+2</f>
        <v>40685</v>
      </c>
    </row>
    <row r="343" spans="1:19" x14ac:dyDescent="0.15">
      <c r="A343" s="1">
        <v>26976</v>
      </c>
      <c r="B343" s="6">
        <f>DATE(2012,12,31)-591</f>
        <v>40683</v>
      </c>
      <c r="C343" s="2" t="s">
        <v>915</v>
      </c>
      <c r="D343" s="1">
        <v>11</v>
      </c>
      <c r="E343" s="1">
        <v>1154.9375</v>
      </c>
      <c r="F343" s="1">
        <v>0.04</v>
      </c>
      <c r="G343" s="2" t="s">
        <v>561</v>
      </c>
      <c r="H343" s="10">
        <v>-176.05500000000001</v>
      </c>
      <c r="I343" s="7">
        <v>125.99</v>
      </c>
      <c r="J343" s="7">
        <v>8.99</v>
      </c>
      <c r="K343" s="2" t="s">
        <v>849</v>
      </c>
      <c r="L343" s="16" t="s">
        <v>921</v>
      </c>
      <c r="M343" s="16" t="s">
        <v>921</v>
      </c>
      <c r="N343" s="2" t="s">
        <v>564</v>
      </c>
      <c r="O343" s="2" t="s">
        <v>569</v>
      </c>
      <c r="P343" s="2" t="s">
        <v>87</v>
      </c>
      <c r="Q343" s="1" t="s">
        <v>290</v>
      </c>
      <c r="R343" s="2" t="s">
        <v>585</v>
      </c>
      <c r="S343" s="8">
        <f>B343+1</f>
        <v>40684</v>
      </c>
    </row>
    <row r="344" spans="1:19" x14ac:dyDescent="0.15">
      <c r="A344" s="1">
        <v>27169</v>
      </c>
      <c r="B344" s="6">
        <f>DATE(2012,12,31)-477</f>
        <v>40797</v>
      </c>
      <c r="C344" s="2" t="s">
        <v>915</v>
      </c>
      <c r="D344" s="1">
        <v>16</v>
      </c>
      <c r="E344" s="1">
        <v>109.9</v>
      </c>
      <c r="F344" s="1">
        <v>0.01</v>
      </c>
      <c r="G344" s="2" t="s">
        <v>560</v>
      </c>
      <c r="H344" s="10">
        <v>-28.945500000000003</v>
      </c>
      <c r="I344" s="7">
        <v>6.54</v>
      </c>
      <c r="J344" s="7">
        <v>5.27</v>
      </c>
      <c r="K344" s="2" t="s">
        <v>896</v>
      </c>
      <c r="L344" s="16" t="s">
        <v>921</v>
      </c>
      <c r="M344" s="16" t="s">
        <v>921</v>
      </c>
      <c r="N344" s="2" t="s">
        <v>567</v>
      </c>
      <c r="O344" s="2" t="s">
        <v>568</v>
      </c>
      <c r="P344" s="2" t="s">
        <v>88</v>
      </c>
      <c r="Q344" s="1" t="s">
        <v>383</v>
      </c>
      <c r="R344" s="2" t="s">
        <v>585</v>
      </c>
      <c r="S344" s="8">
        <f>B344+1</f>
        <v>40798</v>
      </c>
    </row>
    <row r="345" spans="1:19" x14ac:dyDescent="0.15">
      <c r="A345" s="1">
        <v>27363</v>
      </c>
      <c r="B345" s="6">
        <f>DATE(2012,12,31)-440</f>
        <v>40834</v>
      </c>
      <c r="C345" s="2" t="s">
        <v>914</v>
      </c>
      <c r="D345" s="1">
        <v>6</v>
      </c>
      <c r="E345" s="1">
        <v>646.14</v>
      </c>
      <c r="F345" s="1">
        <v>7.0000000000000007E-2</v>
      </c>
      <c r="G345" s="2" t="s">
        <v>560</v>
      </c>
      <c r="H345" s="10">
        <v>-265.62</v>
      </c>
      <c r="I345" s="7">
        <v>101.41</v>
      </c>
      <c r="J345" s="7">
        <v>35</v>
      </c>
      <c r="K345" s="2" t="s">
        <v>892</v>
      </c>
      <c r="L345" s="16" t="s">
        <v>921</v>
      </c>
      <c r="M345" s="16" t="s">
        <v>921</v>
      </c>
      <c r="N345" s="2" t="s">
        <v>565</v>
      </c>
      <c r="O345" s="2" t="s">
        <v>568</v>
      </c>
      <c r="P345" s="2" t="s">
        <v>577</v>
      </c>
      <c r="Q345" s="1" t="s">
        <v>208</v>
      </c>
      <c r="R345" s="2" t="s">
        <v>590</v>
      </c>
      <c r="S345" s="8">
        <f>B345+2</f>
        <v>40836</v>
      </c>
    </row>
    <row r="346" spans="1:19" x14ac:dyDescent="0.15">
      <c r="A346" s="1">
        <v>27524</v>
      </c>
      <c r="B346" s="6">
        <f>DATE(2012,12,31)-1064</f>
        <v>40210</v>
      </c>
      <c r="C346" s="2" t="s">
        <v>915</v>
      </c>
      <c r="D346" s="1">
        <v>50</v>
      </c>
      <c r="E346" s="1">
        <v>343.94</v>
      </c>
      <c r="F346" s="1">
        <v>0.02</v>
      </c>
      <c r="G346" s="2" t="s">
        <v>560</v>
      </c>
      <c r="H346" s="10">
        <v>-157.4</v>
      </c>
      <c r="I346" s="7">
        <v>6.48</v>
      </c>
      <c r="J346" s="7">
        <v>7.37</v>
      </c>
      <c r="K346" s="2" t="s">
        <v>900</v>
      </c>
      <c r="L346" s="16" t="s">
        <v>921</v>
      </c>
      <c r="M346" s="16" t="s">
        <v>921</v>
      </c>
      <c r="N346" s="2" t="s">
        <v>566</v>
      </c>
      <c r="O346" s="2" t="s">
        <v>568</v>
      </c>
      <c r="P346" s="2" t="s">
        <v>573</v>
      </c>
      <c r="Q346" s="1" t="s">
        <v>692</v>
      </c>
      <c r="R346" s="2" t="s">
        <v>585</v>
      </c>
      <c r="S346" s="8">
        <f>B346+2</f>
        <v>40212</v>
      </c>
    </row>
    <row r="347" spans="1:19" x14ac:dyDescent="0.15">
      <c r="A347" s="1">
        <v>27554</v>
      </c>
      <c r="B347" s="6">
        <f>DATE(2012,12,31)-662</f>
        <v>40612</v>
      </c>
      <c r="C347" s="2" t="s">
        <v>917</v>
      </c>
      <c r="D347" s="1">
        <v>45</v>
      </c>
      <c r="E347" s="1">
        <v>12685.544000000002</v>
      </c>
      <c r="F347" s="1">
        <v>0.02</v>
      </c>
      <c r="G347" s="2" t="s">
        <v>562</v>
      </c>
      <c r="H347" s="10">
        <v>3985.11</v>
      </c>
      <c r="I347" s="7">
        <v>348.21</v>
      </c>
      <c r="J347" s="7">
        <v>40.19</v>
      </c>
      <c r="K347" s="2" t="s">
        <v>811</v>
      </c>
      <c r="L347" s="16" t="s">
        <v>921</v>
      </c>
      <c r="M347" s="16" t="s">
        <v>921</v>
      </c>
      <c r="N347" s="2" t="s">
        <v>565</v>
      </c>
      <c r="O347" s="2" t="s">
        <v>570</v>
      </c>
      <c r="P347" s="2" t="s">
        <v>578</v>
      </c>
      <c r="Q347" s="1" t="s">
        <v>282</v>
      </c>
      <c r="R347" s="2" t="s">
        <v>588</v>
      </c>
      <c r="S347" s="8">
        <f>B347+2</f>
        <v>40614</v>
      </c>
    </row>
    <row r="348" spans="1:19" x14ac:dyDescent="0.15">
      <c r="A348" s="1">
        <v>27712</v>
      </c>
      <c r="B348" s="6">
        <f>DATE(2012,12,31)-1033</f>
        <v>40241</v>
      </c>
      <c r="C348" s="2" t="s">
        <v>916</v>
      </c>
      <c r="D348" s="1">
        <v>20</v>
      </c>
      <c r="E348" s="1">
        <v>246.63</v>
      </c>
      <c r="F348" s="1">
        <v>0.08</v>
      </c>
      <c r="G348" s="2" t="s">
        <v>560</v>
      </c>
      <c r="H348" s="10">
        <v>31.54</v>
      </c>
      <c r="I348" s="7">
        <v>12.28</v>
      </c>
      <c r="J348" s="7">
        <v>4.8600000000000003</v>
      </c>
      <c r="K348" s="2" t="s">
        <v>617</v>
      </c>
      <c r="L348" s="16" t="s">
        <v>921</v>
      </c>
      <c r="M348" s="16" t="s">
        <v>921</v>
      </c>
      <c r="N348" s="2" t="s">
        <v>567</v>
      </c>
      <c r="O348" s="2" t="s">
        <v>568</v>
      </c>
      <c r="P348" s="2" t="s">
        <v>573</v>
      </c>
      <c r="Q348" s="1" t="s">
        <v>640</v>
      </c>
      <c r="R348" s="2" t="s">
        <v>585</v>
      </c>
      <c r="S348" s="8">
        <f>B348+7</f>
        <v>40248</v>
      </c>
    </row>
    <row r="349" spans="1:19" x14ac:dyDescent="0.15">
      <c r="A349" s="1">
        <v>27715</v>
      </c>
      <c r="B349" s="6">
        <f>DATE(2012,12,31)-469</f>
        <v>40805</v>
      </c>
      <c r="C349" s="2" t="s">
        <v>913</v>
      </c>
      <c r="D349" s="1">
        <v>12</v>
      </c>
      <c r="E349" s="1">
        <v>94.52</v>
      </c>
      <c r="F349" s="1">
        <v>0.06</v>
      </c>
      <c r="G349" s="2" t="s">
        <v>560</v>
      </c>
      <c r="H349" s="10">
        <v>-36.225000000000001</v>
      </c>
      <c r="I349" s="7">
        <v>7.45</v>
      </c>
      <c r="J349" s="7">
        <v>6.28</v>
      </c>
      <c r="K349" s="2" t="s">
        <v>875</v>
      </c>
      <c r="L349" s="16" t="s">
        <v>921</v>
      </c>
      <c r="M349" s="16" t="s">
        <v>921</v>
      </c>
      <c r="N349" s="2" t="s">
        <v>566</v>
      </c>
      <c r="O349" s="2" t="s">
        <v>568</v>
      </c>
      <c r="P349" s="2" t="s">
        <v>88</v>
      </c>
      <c r="Q349" s="1" t="s">
        <v>679</v>
      </c>
      <c r="R349" s="2" t="s">
        <v>585</v>
      </c>
      <c r="S349" s="8">
        <f>B349+2</f>
        <v>40807</v>
      </c>
    </row>
    <row r="350" spans="1:19" x14ac:dyDescent="0.15">
      <c r="A350" s="1">
        <v>27744</v>
      </c>
      <c r="B350" s="6">
        <f>DATE(2012,12,31)-881</f>
        <v>40393</v>
      </c>
      <c r="C350" s="2" t="s">
        <v>917</v>
      </c>
      <c r="D350" s="1">
        <v>22</v>
      </c>
      <c r="E350" s="1">
        <v>106.69</v>
      </c>
      <c r="F350" s="1">
        <v>0.01</v>
      </c>
      <c r="G350" s="2" t="s">
        <v>560</v>
      </c>
      <c r="H350" s="10">
        <v>-76.601500000000001</v>
      </c>
      <c r="I350" s="7">
        <v>4.54</v>
      </c>
      <c r="J350" s="7">
        <v>5.83</v>
      </c>
      <c r="K350" s="2" t="s">
        <v>780</v>
      </c>
      <c r="L350" s="16" t="s">
        <v>921</v>
      </c>
      <c r="M350" s="16" t="s">
        <v>921</v>
      </c>
      <c r="N350" s="2" t="s">
        <v>567</v>
      </c>
      <c r="O350" s="2" t="s">
        <v>568</v>
      </c>
      <c r="P350" s="2" t="s">
        <v>88</v>
      </c>
      <c r="Q350" s="1" t="s">
        <v>499</v>
      </c>
      <c r="R350" s="2" t="s">
        <v>585</v>
      </c>
      <c r="S350" s="8">
        <f>B350+1</f>
        <v>40394</v>
      </c>
    </row>
    <row r="351" spans="1:19" x14ac:dyDescent="0.15">
      <c r="A351" s="1">
        <v>27745</v>
      </c>
      <c r="B351" s="6">
        <f>DATE(2012,12,31)-833</f>
        <v>40441</v>
      </c>
      <c r="C351" s="2" t="s">
        <v>916</v>
      </c>
      <c r="D351" s="1">
        <v>41</v>
      </c>
      <c r="E351" s="1">
        <v>6126.93</v>
      </c>
      <c r="F351" s="1">
        <v>0.01</v>
      </c>
      <c r="G351" s="2" t="s">
        <v>562</v>
      </c>
      <c r="H351" s="10">
        <v>-1704.89</v>
      </c>
      <c r="I351" s="7">
        <v>146.05000000000001</v>
      </c>
      <c r="J351" s="7">
        <v>80.2</v>
      </c>
      <c r="K351" s="2" t="s">
        <v>838</v>
      </c>
      <c r="L351" s="16" t="s">
        <v>921</v>
      </c>
      <c r="M351" s="16" t="s">
        <v>921</v>
      </c>
      <c r="N351" s="2" t="s">
        <v>564</v>
      </c>
      <c r="O351" s="2" t="s">
        <v>570</v>
      </c>
      <c r="P351" s="2" t="s">
        <v>578</v>
      </c>
      <c r="Q351" s="1" t="s">
        <v>292</v>
      </c>
      <c r="R351" s="2" t="s">
        <v>588</v>
      </c>
      <c r="S351" s="8">
        <f>B351+4</f>
        <v>40445</v>
      </c>
    </row>
    <row r="352" spans="1:19" x14ac:dyDescent="0.15">
      <c r="A352" s="1">
        <v>27936</v>
      </c>
      <c r="B352" s="6">
        <f>DATE(2012,12,31)-543</f>
        <v>40731</v>
      </c>
      <c r="C352" s="2" t="s">
        <v>913</v>
      </c>
      <c r="D352" s="1">
        <v>3</v>
      </c>
      <c r="E352" s="1">
        <v>9172.32</v>
      </c>
      <c r="F352" s="1">
        <v>0.06</v>
      </c>
      <c r="G352" s="2" t="s">
        <v>562</v>
      </c>
      <c r="H352" s="10">
        <v>-8570.4483</v>
      </c>
      <c r="I352" s="7">
        <v>3502.14</v>
      </c>
      <c r="J352" s="7">
        <v>8.73</v>
      </c>
      <c r="K352" s="2" t="s">
        <v>837</v>
      </c>
      <c r="L352" s="16" t="s">
        <v>921</v>
      </c>
      <c r="M352" s="16" t="s">
        <v>921</v>
      </c>
      <c r="N352" s="2" t="s">
        <v>566</v>
      </c>
      <c r="O352" s="2" t="s">
        <v>569</v>
      </c>
      <c r="P352" s="2" t="s">
        <v>583</v>
      </c>
      <c r="Q352" s="1" t="s">
        <v>618</v>
      </c>
      <c r="R352" s="2" t="s">
        <v>588</v>
      </c>
      <c r="S352" s="8">
        <f>B352+2</f>
        <v>40733</v>
      </c>
    </row>
    <row r="353" spans="1:19" x14ac:dyDescent="0.15">
      <c r="A353" s="1">
        <v>28007</v>
      </c>
      <c r="B353" s="6">
        <f>DATE(2012,12,31)-998</f>
        <v>40276</v>
      </c>
      <c r="C353" s="2" t="s">
        <v>915</v>
      </c>
      <c r="D353" s="1">
        <v>23</v>
      </c>
      <c r="E353" s="1">
        <v>128.97</v>
      </c>
      <c r="F353" s="1">
        <v>0.03</v>
      </c>
      <c r="G353" s="2" t="s">
        <v>560</v>
      </c>
      <c r="H353" s="10">
        <v>-1045.25</v>
      </c>
      <c r="I353" s="7">
        <v>3.48</v>
      </c>
      <c r="J353" s="7">
        <v>49</v>
      </c>
      <c r="K353" s="2" t="s">
        <v>892</v>
      </c>
      <c r="L353" s="16" t="s">
        <v>921</v>
      </c>
      <c r="M353" s="16" t="s">
        <v>921</v>
      </c>
      <c r="N353" s="2" t="s">
        <v>565</v>
      </c>
      <c r="O353" s="2" t="s">
        <v>568</v>
      </c>
      <c r="P353" s="2" t="s">
        <v>576</v>
      </c>
      <c r="Q353" s="1" t="s">
        <v>340</v>
      </c>
      <c r="R353" s="2" t="s">
        <v>590</v>
      </c>
      <c r="S353" s="8">
        <f>B353+1</f>
        <v>40277</v>
      </c>
    </row>
    <row r="354" spans="1:19" x14ac:dyDescent="0.15">
      <c r="A354" s="1">
        <v>28007</v>
      </c>
      <c r="B354" s="6">
        <f>DATE(2012,12,31)-998</f>
        <v>40276</v>
      </c>
      <c r="C354" s="2" t="s">
        <v>915</v>
      </c>
      <c r="D354" s="1">
        <v>20</v>
      </c>
      <c r="E354" s="1">
        <v>238.77</v>
      </c>
      <c r="F354" s="1">
        <v>0.02</v>
      </c>
      <c r="G354" s="2" t="s">
        <v>560</v>
      </c>
      <c r="H354" s="10">
        <v>-78.81</v>
      </c>
      <c r="I354" s="7">
        <v>11.66</v>
      </c>
      <c r="J354" s="7">
        <v>7.95</v>
      </c>
      <c r="K354" s="2" t="s">
        <v>892</v>
      </c>
      <c r="L354" s="16" t="s">
        <v>921</v>
      </c>
      <c r="M354" s="16" t="s">
        <v>921</v>
      </c>
      <c r="N354" s="2" t="s">
        <v>565</v>
      </c>
      <c r="O354" s="2" t="s">
        <v>568</v>
      </c>
      <c r="P354" s="2" t="s">
        <v>571</v>
      </c>
      <c r="Q354" s="1" t="s">
        <v>0</v>
      </c>
      <c r="R354" s="2" t="s">
        <v>587</v>
      </c>
      <c r="S354" s="8">
        <f>B354+1</f>
        <v>40277</v>
      </c>
    </row>
    <row r="355" spans="1:19" x14ac:dyDescent="0.15">
      <c r="A355" s="1">
        <v>28007</v>
      </c>
      <c r="B355" s="6">
        <f>DATE(2012,12,31)-998</f>
        <v>40276</v>
      </c>
      <c r="C355" s="2" t="s">
        <v>915</v>
      </c>
      <c r="D355" s="1">
        <v>20</v>
      </c>
      <c r="E355" s="1">
        <v>257.33999999999997</v>
      </c>
      <c r="F355" s="1">
        <v>0.04</v>
      </c>
      <c r="G355" s="2" t="s">
        <v>560</v>
      </c>
      <c r="H355" s="10">
        <v>12.82</v>
      </c>
      <c r="I355" s="7">
        <v>12.98</v>
      </c>
      <c r="J355" s="7">
        <v>3.14</v>
      </c>
      <c r="K355" s="2" t="s">
        <v>892</v>
      </c>
      <c r="L355" s="16" t="s">
        <v>921</v>
      </c>
      <c r="M355" s="16" t="s">
        <v>921</v>
      </c>
      <c r="N355" s="2" t="s">
        <v>565</v>
      </c>
      <c r="O355" s="2" t="s">
        <v>568</v>
      </c>
      <c r="P355" s="2" t="s">
        <v>89</v>
      </c>
      <c r="Q355" s="1" t="s">
        <v>258</v>
      </c>
      <c r="R355" s="2" t="s">
        <v>587</v>
      </c>
      <c r="S355" s="8">
        <f>B355+1</f>
        <v>40277</v>
      </c>
    </row>
    <row r="356" spans="1:19" x14ac:dyDescent="0.15">
      <c r="A356" s="1">
        <v>28129</v>
      </c>
      <c r="B356" s="6">
        <f>DATE(2012,12,31)-340</f>
        <v>40934</v>
      </c>
      <c r="C356" s="2" t="s">
        <v>914</v>
      </c>
      <c r="D356" s="1">
        <v>5</v>
      </c>
      <c r="E356" s="1">
        <v>107.41</v>
      </c>
      <c r="F356" s="1">
        <v>0.05</v>
      </c>
      <c r="G356" s="2" t="s">
        <v>560</v>
      </c>
      <c r="H356" s="10">
        <v>0.18999999999999773</v>
      </c>
      <c r="I356" s="7">
        <v>19.98</v>
      </c>
      <c r="J356" s="7">
        <v>5.86</v>
      </c>
      <c r="K356" s="2" t="s">
        <v>862</v>
      </c>
      <c r="L356" s="16" t="s">
        <v>921</v>
      </c>
      <c r="M356" s="16" t="s">
        <v>921</v>
      </c>
      <c r="N356" s="2" t="s">
        <v>565</v>
      </c>
      <c r="O356" s="2" t="s">
        <v>568</v>
      </c>
      <c r="P356" s="2" t="s">
        <v>573</v>
      </c>
      <c r="Q356" s="1" t="s">
        <v>693</v>
      </c>
      <c r="R356" s="2" t="s">
        <v>585</v>
      </c>
      <c r="S356" s="8">
        <f>B356+1</f>
        <v>40935</v>
      </c>
    </row>
    <row r="357" spans="1:19" x14ac:dyDescent="0.15">
      <c r="A357" s="1">
        <v>28224</v>
      </c>
      <c r="B357" s="6">
        <f>DATE(2012,12,31)-12</f>
        <v>41262</v>
      </c>
      <c r="C357" s="2" t="s">
        <v>917</v>
      </c>
      <c r="D357" s="1">
        <v>25</v>
      </c>
      <c r="E357" s="1">
        <v>163.41</v>
      </c>
      <c r="F357" s="1">
        <v>7.0000000000000007E-2</v>
      </c>
      <c r="G357" s="2" t="s">
        <v>560</v>
      </c>
      <c r="H357" s="10">
        <v>-91.275500000000008</v>
      </c>
      <c r="I357" s="7">
        <v>6.23</v>
      </c>
      <c r="J357" s="7">
        <v>6.97</v>
      </c>
      <c r="K357" s="2" t="s">
        <v>904</v>
      </c>
      <c r="L357" s="16" t="s">
        <v>921</v>
      </c>
      <c r="M357" s="16" t="s">
        <v>921</v>
      </c>
      <c r="N357" s="2" t="s">
        <v>567</v>
      </c>
      <c r="O357" s="2" t="s">
        <v>568</v>
      </c>
      <c r="P357" s="2" t="s">
        <v>88</v>
      </c>
      <c r="Q357" s="1" t="s">
        <v>27</v>
      </c>
      <c r="R357" s="2" t="s">
        <v>585</v>
      </c>
      <c r="S357" s="8">
        <f>B357+1</f>
        <v>41263</v>
      </c>
    </row>
    <row r="358" spans="1:19" x14ac:dyDescent="0.15">
      <c r="A358" s="1">
        <v>28354</v>
      </c>
      <c r="B358" s="6">
        <f>DATE(2012,12,31)-1375</f>
        <v>39899</v>
      </c>
      <c r="C358" s="2" t="s">
        <v>916</v>
      </c>
      <c r="D358" s="1">
        <v>34</v>
      </c>
      <c r="E358" s="1">
        <v>507.66</v>
      </c>
      <c r="F358" s="1">
        <v>0.1</v>
      </c>
      <c r="G358" s="2" t="s">
        <v>560</v>
      </c>
      <c r="H358" s="10">
        <v>106.71</v>
      </c>
      <c r="I358" s="7">
        <v>15.98</v>
      </c>
      <c r="J358" s="7">
        <v>4</v>
      </c>
      <c r="K358" s="2" t="s">
        <v>785</v>
      </c>
      <c r="L358" s="16" t="s">
        <v>921</v>
      </c>
      <c r="M358" s="16" t="s">
        <v>921</v>
      </c>
      <c r="N358" s="2" t="s">
        <v>567</v>
      </c>
      <c r="O358" s="2" t="s">
        <v>569</v>
      </c>
      <c r="P358" s="2" t="s">
        <v>572</v>
      </c>
      <c r="Q358" s="1" t="s">
        <v>490</v>
      </c>
      <c r="R358" s="2" t="s">
        <v>585</v>
      </c>
      <c r="S358" s="8">
        <f>B358+5</f>
        <v>39904</v>
      </c>
    </row>
    <row r="359" spans="1:19" x14ac:dyDescent="0.15">
      <c r="A359" s="1">
        <v>28387</v>
      </c>
      <c r="B359" s="6">
        <f>DATE(2012,12,31)-185</f>
        <v>41089</v>
      </c>
      <c r="C359" s="2" t="s">
        <v>915</v>
      </c>
      <c r="D359" s="1">
        <v>37</v>
      </c>
      <c r="E359" s="1">
        <v>3212.97</v>
      </c>
      <c r="F359" s="1">
        <v>0.03</v>
      </c>
      <c r="G359" s="2" t="s">
        <v>560</v>
      </c>
      <c r="H359" s="10">
        <v>1125.42</v>
      </c>
      <c r="I359" s="7">
        <v>83.93</v>
      </c>
      <c r="J359" s="7">
        <v>19.989999999999998</v>
      </c>
      <c r="K359" s="2" t="s">
        <v>881</v>
      </c>
      <c r="L359" s="16" t="s">
        <v>921</v>
      </c>
      <c r="M359" s="16" t="s">
        <v>921</v>
      </c>
      <c r="N359" s="2" t="s">
        <v>566</v>
      </c>
      <c r="O359" s="2" t="s">
        <v>568</v>
      </c>
      <c r="P359" s="2" t="s">
        <v>575</v>
      </c>
      <c r="Q359" s="1" t="s">
        <v>219</v>
      </c>
      <c r="R359" s="2" t="s">
        <v>585</v>
      </c>
      <c r="S359" s="8">
        <f>B359+1</f>
        <v>41090</v>
      </c>
    </row>
    <row r="360" spans="1:19" x14ac:dyDescent="0.15">
      <c r="A360" s="1">
        <v>28387</v>
      </c>
      <c r="B360" s="6">
        <f>DATE(2012,12,31)-185</f>
        <v>41089</v>
      </c>
      <c r="C360" s="2" t="s">
        <v>915</v>
      </c>
      <c r="D360" s="1">
        <v>13</v>
      </c>
      <c r="E360" s="1">
        <v>292.95</v>
      </c>
      <c r="F360" s="1">
        <v>0.06</v>
      </c>
      <c r="G360" s="2" t="s">
        <v>560</v>
      </c>
      <c r="H360" s="10">
        <v>60.36</v>
      </c>
      <c r="I360" s="7">
        <v>22.84</v>
      </c>
      <c r="J360" s="7">
        <v>5.47</v>
      </c>
      <c r="K360" s="2" t="s">
        <v>881</v>
      </c>
      <c r="L360" s="16" t="s">
        <v>921</v>
      </c>
      <c r="M360" s="16" t="s">
        <v>921</v>
      </c>
      <c r="N360" s="2" t="s">
        <v>566</v>
      </c>
      <c r="O360" s="2" t="s">
        <v>568</v>
      </c>
      <c r="P360" s="2" t="s">
        <v>573</v>
      </c>
      <c r="Q360" s="1" t="s">
        <v>237</v>
      </c>
      <c r="R360" s="2" t="s">
        <v>585</v>
      </c>
      <c r="S360" s="8">
        <f>B360+1</f>
        <v>41090</v>
      </c>
    </row>
    <row r="361" spans="1:19" x14ac:dyDescent="0.15">
      <c r="A361" s="1">
        <v>28485</v>
      </c>
      <c r="B361" s="6">
        <f>DATE(2012,12,31)-354</f>
        <v>40920</v>
      </c>
      <c r="C361" s="2" t="s">
        <v>913</v>
      </c>
      <c r="D361" s="1">
        <v>12</v>
      </c>
      <c r="E361" s="1">
        <v>49.18</v>
      </c>
      <c r="F361" s="1">
        <v>7.0000000000000007E-2</v>
      </c>
      <c r="G361" s="2" t="s">
        <v>560</v>
      </c>
      <c r="H361" s="10">
        <v>0.57999999999999996</v>
      </c>
      <c r="I361" s="7">
        <v>4.28</v>
      </c>
      <c r="J361" s="7">
        <v>0.94</v>
      </c>
      <c r="K361" s="2" t="s">
        <v>829</v>
      </c>
      <c r="L361" s="16" t="s">
        <v>921</v>
      </c>
      <c r="M361" s="16" t="s">
        <v>921</v>
      </c>
      <c r="N361" s="2" t="s">
        <v>566</v>
      </c>
      <c r="O361" s="2" t="s">
        <v>568</v>
      </c>
      <c r="P361" s="2" t="s">
        <v>571</v>
      </c>
      <c r="Q361" s="1" t="s">
        <v>557</v>
      </c>
      <c r="R361" s="2" t="s">
        <v>584</v>
      </c>
      <c r="S361" s="8">
        <f>B361+0</f>
        <v>40920</v>
      </c>
    </row>
    <row r="362" spans="1:19" x14ac:dyDescent="0.15">
      <c r="A362" s="1">
        <v>28643</v>
      </c>
      <c r="B362" s="6">
        <f>DATE(2012,12,31)-979</f>
        <v>40295</v>
      </c>
      <c r="C362" s="2" t="s">
        <v>915</v>
      </c>
      <c r="D362" s="1">
        <v>16</v>
      </c>
      <c r="E362" s="1">
        <v>659.5</v>
      </c>
      <c r="F362" s="1">
        <v>0.09</v>
      </c>
      <c r="G362" s="2" t="s">
        <v>560</v>
      </c>
      <c r="H362" s="10">
        <v>248.98200000000003</v>
      </c>
      <c r="I362" s="7">
        <v>41.94</v>
      </c>
      <c r="J362" s="7">
        <v>2.99</v>
      </c>
      <c r="K362" s="2" t="s">
        <v>869</v>
      </c>
      <c r="L362" s="16" t="s">
        <v>921</v>
      </c>
      <c r="M362" s="16" t="s">
        <v>921</v>
      </c>
      <c r="N362" s="2" t="s">
        <v>566</v>
      </c>
      <c r="O362" s="2" t="s">
        <v>568</v>
      </c>
      <c r="P362" s="2" t="s">
        <v>88</v>
      </c>
      <c r="Q362" s="1" t="s">
        <v>719</v>
      </c>
      <c r="R362" s="2" t="s">
        <v>585</v>
      </c>
      <c r="S362" s="8">
        <f>B362+1</f>
        <v>40296</v>
      </c>
    </row>
    <row r="363" spans="1:19" x14ac:dyDescent="0.15">
      <c r="A363" s="1">
        <v>28737</v>
      </c>
      <c r="B363" s="6">
        <f>DATE(2012,12,31)-455</f>
        <v>40819</v>
      </c>
      <c r="C363" s="2" t="s">
        <v>917</v>
      </c>
      <c r="D363" s="1">
        <v>50</v>
      </c>
      <c r="E363" s="1">
        <v>413.37</v>
      </c>
      <c r="F363" s="1">
        <v>0.04</v>
      </c>
      <c r="G363" s="2" t="s">
        <v>560</v>
      </c>
      <c r="H363" s="10">
        <v>-224.41</v>
      </c>
      <c r="I363" s="7">
        <v>8.4499999999999993</v>
      </c>
      <c r="J363" s="7">
        <v>7.77</v>
      </c>
      <c r="K363" s="2" t="s">
        <v>838</v>
      </c>
      <c r="L363" s="16" t="s">
        <v>921</v>
      </c>
      <c r="M363" s="16" t="s">
        <v>921</v>
      </c>
      <c r="N363" s="2" t="s">
        <v>564</v>
      </c>
      <c r="O363" s="2" t="s">
        <v>568</v>
      </c>
      <c r="P363" s="2" t="s">
        <v>89</v>
      </c>
      <c r="Q363" s="1" t="s">
        <v>750</v>
      </c>
      <c r="R363" s="2" t="s">
        <v>587</v>
      </c>
      <c r="S363" s="8">
        <f>B363+2</f>
        <v>40821</v>
      </c>
    </row>
    <row r="364" spans="1:19" x14ac:dyDescent="0.15">
      <c r="A364" s="1">
        <v>28737</v>
      </c>
      <c r="B364" s="6">
        <f>DATE(2012,12,31)-455</f>
        <v>40819</v>
      </c>
      <c r="C364" s="2" t="s">
        <v>917</v>
      </c>
      <c r="D364" s="1">
        <v>17</v>
      </c>
      <c r="E364" s="1">
        <v>1721.6410000000001</v>
      </c>
      <c r="F364" s="1">
        <v>0.04</v>
      </c>
      <c r="G364" s="2" t="s">
        <v>560</v>
      </c>
      <c r="H364" s="10">
        <v>242.44200000000001</v>
      </c>
      <c r="I364" s="7">
        <v>115.99</v>
      </c>
      <c r="J364" s="7">
        <v>4.2300000000000004</v>
      </c>
      <c r="K364" s="2" t="s">
        <v>838</v>
      </c>
      <c r="L364" s="16" t="s">
        <v>921</v>
      </c>
      <c r="M364" s="16" t="s">
        <v>921</v>
      </c>
      <c r="N364" s="2" t="s">
        <v>564</v>
      </c>
      <c r="O364" s="2" t="s">
        <v>569</v>
      </c>
      <c r="P364" s="2" t="s">
        <v>87</v>
      </c>
      <c r="Q364" s="1" t="s">
        <v>99</v>
      </c>
      <c r="R364" s="2" t="s">
        <v>585</v>
      </c>
      <c r="S364" s="8">
        <f>B364+2</f>
        <v>40821</v>
      </c>
    </row>
    <row r="365" spans="1:19" x14ac:dyDescent="0.15">
      <c r="A365" s="1">
        <v>28807</v>
      </c>
      <c r="B365" s="6">
        <f>DATE(2012,12,31)-641</f>
        <v>40633</v>
      </c>
      <c r="C365" s="2" t="s">
        <v>913</v>
      </c>
      <c r="D365" s="1">
        <v>9</v>
      </c>
      <c r="E365" s="1">
        <v>59.35</v>
      </c>
      <c r="F365" s="1">
        <v>0.02</v>
      </c>
      <c r="G365" s="2" t="s">
        <v>561</v>
      </c>
      <c r="H365" s="10">
        <v>-42.61</v>
      </c>
      <c r="I365" s="7">
        <v>4.9800000000000004</v>
      </c>
      <c r="J365" s="7">
        <v>8.33</v>
      </c>
      <c r="K365" s="2" t="s">
        <v>763</v>
      </c>
      <c r="L365" s="16" t="s">
        <v>921</v>
      </c>
      <c r="M365" s="16" t="s">
        <v>921</v>
      </c>
      <c r="N365" s="2" t="s">
        <v>566</v>
      </c>
      <c r="O365" s="2" t="s">
        <v>568</v>
      </c>
      <c r="P365" s="2" t="s">
        <v>573</v>
      </c>
      <c r="Q365" s="1" t="s">
        <v>464</v>
      </c>
      <c r="R365" s="2" t="s">
        <v>585</v>
      </c>
      <c r="S365" s="8">
        <f>B365+1</f>
        <v>40634</v>
      </c>
    </row>
    <row r="366" spans="1:19" x14ac:dyDescent="0.15">
      <c r="A366" s="1">
        <v>28832</v>
      </c>
      <c r="B366" s="6">
        <f>DATE(2012,12,31)-829</f>
        <v>40445</v>
      </c>
      <c r="C366" s="2" t="s">
        <v>914</v>
      </c>
      <c r="D366" s="1">
        <v>46</v>
      </c>
      <c r="E366" s="1">
        <v>1500.84</v>
      </c>
      <c r="F366" s="1">
        <v>0.1</v>
      </c>
      <c r="G366" s="2" t="s">
        <v>561</v>
      </c>
      <c r="H366" s="10">
        <v>91.56</v>
      </c>
      <c r="I366" s="7">
        <v>35.89</v>
      </c>
      <c r="J366" s="7">
        <v>14.72</v>
      </c>
      <c r="K366" s="2" t="s">
        <v>785</v>
      </c>
      <c r="L366" s="16" t="s">
        <v>921</v>
      </c>
      <c r="M366" s="16" t="s">
        <v>921</v>
      </c>
      <c r="N366" s="2" t="s">
        <v>567</v>
      </c>
      <c r="O366" s="2" t="s">
        <v>568</v>
      </c>
      <c r="P366" s="2" t="s">
        <v>575</v>
      </c>
      <c r="Q366" s="1" t="s">
        <v>377</v>
      </c>
      <c r="R366" s="2" t="s">
        <v>585</v>
      </c>
      <c r="S366" s="8">
        <f>B366+1</f>
        <v>40446</v>
      </c>
    </row>
    <row r="367" spans="1:19" x14ac:dyDescent="0.15">
      <c r="A367" s="1">
        <v>28832</v>
      </c>
      <c r="B367" s="6">
        <f>DATE(2012,12,31)-829</f>
        <v>40445</v>
      </c>
      <c r="C367" s="2" t="s">
        <v>914</v>
      </c>
      <c r="D367" s="1">
        <v>45</v>
      </c>
      <c r="E367" s="1">
        <v>98.64</v>
      </c>
      <c r="F367" s="1">
        <v>0.03</v>
      </c>
      <c r="G367" s="2" t="s">
        <v>560</v>
      </c>
      <c r="H367" s="10">
        <v>-9.3610000000000007</v>
      </c>
      <c r="I367" s="7">
        <v>2.08</v>
      </c>
      <c r="J367" s="7">
        <v>1.49</v>
      </c>
      <c r="K367" s="2" t="s">
        <v>785</v>
      </c>
      <c r="L367" s="16" t="s">
        <v>921</v>
      </c>
      <c r="M367" s="16" t="s">
        <v>921</v>
      </c>
      <c r="N367" s="2" t="s">
        <v>567</v>
      </c>
      <c r="O367" s="2" t="s">
        <v>568</v>
      </c>
      <c r="P367" s="2" t="s">
        <v>88</v>
      </c>
      <c r="Q367" s="1" t="s">
        <v>223</v>
      </c>
      <c r="R367" s="2" t="s">
        <v>585</v>
      </c>
      <c r="S367" s="8">
        <f>B367+2</f>
        <v>40447</v>
      </c>
    </row>
    <row r="368" spans="1:19" x14ac:dyDescent="0.15">
      <c r="A368" s="1">
        <v>28933</v>
      </c>
      <c r="B368" s="6">
        <f>DATE(2012,12,31)-1271</f>
        <v>40003</v>
      </c>
      <c r="C368" s="2" t="s">
        <v>917</v>
      </c>
      <c r="D368" s="1">
        <v>1</v>
      </c>
      <c r="E368" s="1">
        <v>11.16</v>
      </c>
      <c r="F368" s="1">
        <v>0.01</v>
      </c>
      <c r="G368" s="2" t="s">
        <v>560</v>
      </c>
      <c r="H368" s="10">
        <v>-7.25</v>
      </c>
      <c r="I368" s="7">
        <v>5.58</v>
      </c>
      <c r="J368" s="7">
        <v>5.3</v>
      </c>
      <c r="K368" s="2" t="s">
        <v>893</v>
      </c>
      <c r="L368" s="16" t="s">
        <v>921</v>
      </c>
      <c r="M368" s="16" t="s">
        <v>921</v>
      </c>
      <c r="N368" s="2" t="s">
        <v>567</v>
      </c>
      <c r="O368" s="2" t="s">
        <v>568</v>
      </c>
      <c r="P368" s="2" t="s">
        <v>575</v>
      </c>
      <c r="Q368" s="1" t="s">
        <v>204</v>
      </c>
      <c r="R368" s="2" t="s">
        <v>585</v>
      </c>
      <c r="S368" s="8">
        <f>B368+1</f>
        <v>40004</v>
      </c>
    </row>
    <row r="369" spans="1:19" x14ac:dyDescent="0.15">
      <c r="A369" s="1">
        <v>28933</v>
      </c>
      <c r="B369" s="6">
        <f>DATE(2012,12,31)-1271</f>
        <v>40003</v>
      </c>
      <c r="C369" s="2" t="s">
        <v>917</v>
      </c>
      <c r="D369" s="1">
        <v>38</v>
      </c>
      <c r="E369" s="1">
        <v>156.19999999999999</v>
      </c>
      <c r="F369" s="1">
        <v>0.03</v>
      </c>
      <c r="G369" s="2" t="s">
        <v>560</v>
      </c>
      <c r="H369" s="10">
        <v>43</v>
      </c>
      <c r="I369" s="7">
        <v>3.98</v>
      </c>
      <c r="J369" s="7">
        <v>0.7</v>
      </c>
      <c r="K369" s="2" t="s">
        <v>893</v>
      </c>
      <c r="L369" s="16" t="s">
        <v>921</v>
      </c>
      <c r="M369" s="16" t="s">
        <v>921</v>
      </c>
      <c r="N369" s="2" t="s">
        <v>567</v>
      </c>
      <c r="O369" s="2" t="s">
        <v>568</v>
      </c>
      <c r="P369" s="2" t="s">
        <v>571</v>
      </c>
      <c r="Q369" s="1" t="s">
        <v>332</v>
      </c>
      <c r="R369" s="2" t="s">
        <v>584</v>
      </c>
      <c r="S369" s="8">
        <f>B369+1</f>
        <v>40004</v>
      </c>
    </row>
    <row r="370" spans="1:19" x14ac:dyDescent="0.15">
      <c r="A370" s="1">
        <v>29090</v>
      </c>
      <c r="B370" s="6">
        <f>DATE(2012,12,31)-350</f>
        <v>40924</v>
      </c>
      <c r="C370" s="2" t="s">
        <v>914</v>
      </c>
      <c r="D370" s="1">
        <v>24</v>
      </c>
      <c r="E370" s="1">
        <v>99.1</v>
      </c>
      <c r="F370" s="1">
        <v>0.02</v>
      </c>
      <c r="G370" s="2" t="s">
        <v>560</v>
      </c>
      <c r="H370" s="10">
        <v>28.42</v>
      </c>
      <c r="I370" s="7">
        <v>4.13</v>
      </c>
      <c r="J370" s="7">
        <v>0.99</v>
      </c>
      <c r="K370" s="2" t="s">
        <v>899</v>
      </c>
      <c r="L370" s="16" t="s">
        <v>921</v>
      </c>
      <c r="M370" s="16" t="s">
        <v>921</v>
      </c>
      <c r="N370" s="2" t="s">
        <v>566</v>
      </c>
      <c r="O370" s="2" t="s">
        <v>568</v>
      </c>
      <c r="P370" s="2" t="s">
        <v>582</v>
      </c>
      <c r="Q370" s="1" t="s">
        <v>524</v>
      </c>
      <c r="R370" s="2" t="s">
        <v>585</v>
      </c>
      <c r="S370" s="8">
        <f>B370+1</f>
        <v>40925</v>
      </c>
    </row>
    <row r="371" spans="1:19" x14ac:dyDescent="0.15">
      <c r="A371" s="1">
        <v>29090</v>
      </c>
      <c r="B371" s="6">
        <f>DATE(2012,12,31)-350</f>
        <v>40924</v>
      </c>
      <c r="C371" s="2" t="s">
        <v>914</v>
      </c>
      <c r="D371" s="1">
        <v>36</v>
      </c>
      <c r="E371" s="1">
        <v>380.34</v>
      </c>
      <c r="F371" s="1">
        <v>0.02</v>
      </c>
      <c r="G371" s="2" t="s">
        <v>560</v>
      </c>
      <c r="H371" s="10">
        <v>-108.2</v>
      </c>
      <c r="I371" s="7">
        <v>10.48</v>
      </c>
      <c r="J371" s="7">
        <v>6.91</v>
      </c>
      <c r="K371" s="2" t="s">
        <v>899</v>
      </c>
      <c r="L371" s="16" t="s">
        <v>921</v>
      </c>
      <c r="M371" s="16" t="s">
        <v>921</v>
      </c>
      <c r="N371" s="2" t="s">
        <v>566</v>
      </c>
      <c r="O371" s="2" t="s">
        <v>568</v>
      </c>
      <c r="P371" s="2" t="s">
        <v>577</v>
      </c>
      <c r="Q371" s="1" t="s">
        <v>452</v>
      </c>
      <c r="R371" s="2" t="s">
        <v>585</v>
      </c>
      <c r="S371" s="8">
        <f>B371+0</f>
        <v>40924</v>
      </c>
    </row>
    <row r="372" spans="1:19" x14ac:dyDescent="0.15">
      <c r="A372" s="1">
        <v>29221</v>
      </c>
      <c r="B372" s="6">
        <f>DATE(2012,12,31)-216</f>
        <v>41058</v>
      </c>
      <c r="C372" s="2" t="s">
        <v>913</v>
      </c>
      <c r="D372" s="1">
        <v>41</v>
      </c>
      <c r="E372" s="1">
        <v>325.33</v>
      </c>
      <c r="F372" s="1">
        <v>0</v>
      </c>
      <c r="G372" s="2" t="s">
        <v>560</v>
      </c>
      <c r="H372" s="10">
        <v>-41.75</v>
      </c>
      <c r="I372" s="7">
        <v>7.64</v>
      </c>
      <c r="J372" s="7">
        <v>5.83</v>
      </c>
      <c r="K372" s="2" t="s">
        <v>900</v>
      </c>
      <c r="L372" s="16" t="s">
        <v>921</v>
      </c>
      <c r="M372" s="16" t="s">
        <v>921</v>
      </c>
      <c r="N372" s="2" t="s">
        <v>566</v>
      </c>
      <c r="O372" s="2" t="s">
        <v>568</v>
      </c>
      <c r="P372" s="2" t="s">
        <v>573</v>
      </c>
      <c r="Q372" s="1" t="s">
        <v>83</v>
      </c>
      <c r="R372" s="2" t="s">
        <v>584</v>
      </c>
      <c r="S372" s="8">
        <f>B372+3</f>
        <v>41061</v>
      </c>
    </row>
    <row r="373" spans="1:19" x14ac:dyDescent="0.15">
      <c r="A373" s="1">
        <v>29284</v>
      </c>
      <c r="B373" s="6">
        <f>DATE(2012,12,31)-1361</f>
        <v>39913</v>
      </c>
      <c r="C373" s="2" t="s">
        <v>914</v>
      </c>
      <c r="D373" s="1" t="s">
        <v>922</v>
      </c>
      <c r="E373" s="1">
        <v>6449.0560000000005</v>
      </c>
      <c r="F373" s="1">
        <v>0.01</v>
      </c>
      <c r="G373" s="2" t="s">
        <v>562</v>
      </c>
      <c r="H373" s="10">
        <v>1116.02</v>
      </c>
      <c r="I373" s="7">
        <v>400.98</v>
      </c>
      <c r="J373" s="7">
        <v>42.52</v>
      </c>
      <c r="K373" s="2" t="s">
        <v>809</v>
      </c>
      <c r="L373" s="16" t="s">
        <v>921</v>
      </c>
      <c r="M373" s="16" t="s">
        <v>921</v>
      </c>
      <c r="N373" s="2" t="s">
        <v>564</v>
      </c>
      <c r="O373" s="2" t="s">
        <v>570</v>
      </c>
      <c r="P373" s="2" t="s">
        <v>578</v>
      </c>
      <c r="Q373" s="1" t="s">
        <v>70</v>
      </c>
      <c r="R373" s="2" t="s">
        <v>588</v>
      </c>
      <c r="S373" s="8">
        <f>B373+2</f>
        <v>39915</v>
      </c>
    </row>
    <row r="374" spans="1:19" x14ac:dyDescent="0.15">
      <c r="A374" s="1">
        <v>29505</v>
      </c>
      <c r="B374" s="6">
        <f>DATE(2012,12,31)-4</f>
        <v>41270</v>
      </c>
      <c r="C374" s="2" t="s">
        <v>914</v>
      </c>
      <c r="D374" s="1">
        <v>22</v>
      </c>
      <c r="E374" s="1">
        <v>45.21</v>
      </c>
      <c r="F374" s="1">
        <v>0.02</v>
      </c>
      <c r="G374" s="2" t="s">
        <v>561</v>
      </c>
      <c r="H374" s="10">
        <v>4.6100000000000003</v>
      </c>
      <c r="I374" s="7">
        <v>1.76</v>
      </c>
      <c r="J374" s="7">
        <v>0.7</v>
      </c>
      <c r="K374" s="2" t="s">
        <v>838</v>
      </c>
      <c r="L374" s="16" t="s">
        <v>921</v>
      </c>
      <c r="M374" s="16" t="s">
        <v>921</v>
      </c>
      <c r="N374" s="2" t="s">
        <v>564</v>
      </c>
      <c r="O374" s="2" t="s">
        <v>568</v>
      </c>
      <c r="P374" s="2" t="s">
        <v>571</v>
      </c>
      <c r="Q374" s="1" t="s">
        <v>155</v>
      </c>
      <c r="R374" s="2" t="s">
        <v>584</v>
      </c>
      <c r="S374" s="8">
        <f>B374+1</f>
        <v>41271</v>
      </c>
    </row>
    <row r="375" spans="1:19" x14ac:dyDescent="0.15">
      <c r="A375" s="1">
        <v>29831</v>
      </c>
      <c r="B375" s="6">
        <f>DATE(2012,12,31)-277</f>
        <v>40997</v>
      </c>
      <c r="C375" s="2" t="s">
        <v>917</v>
      </c>
      <c r="D375" s="1">
        <v>29</v>
      </c>
      <c r="E375" s="1">
        <v>2175.2199999999998</v>
      </c>
      <c r="F375" s="1">
        <v>0</v>
      </c>
      <c r="G375" s="2" t="s">
        <v>562</v>
      </c>
      <c r="H375" s="10">
        <v>-520.54999999999995</v>
      </c>
      <c r="I375" s="7">
        <v>68.81</v>
      </c>
      <c r="J375" s="7">
        <v>60</v>
      </c>
      <c r="K375" s="2" t="s">
        <v>833</v>
      </c>
      <c r="L375" s="16" t="s">
        <v>921</v>
      </c>
      <c r="M375" s="16" t="s">
        <v>921</v>
      </c>
      <c r="N375" s="2" t="s">
        <v>565</v>
      </c>
      <c r="O375" s="2" t="s">
        <v>568</v>
      </c>
      <c r="P375" s="2" t="s">
        <v>576</v>
      </c>
      <c r="Q375" s="1" t="s">
        <v>462</v>
      </c>
      <c r="R375" s="2" t="s">
        <v>586</v>
      </c>
      <c r="S375" s="8">
        <f>B375+1</f>
        <v>40998</v>
      </c>
    </row>
    <row r="376" spans="1:19" x14ac:dyDescent="0.15">
      <c r="A376" s="1">
        <v>30720</v>
      </c>
      <c r="B376" s="6">
        <f>DATE(2012,12,31)-95</f>
        <v>41179</v>
      </c>
      <c r="C376" s="2" t="s">
        <v>916</v>
      </c>
      <c r="D376" s="1">
        <v>5</v>
      </c>
      <c r="E376" s="1">
        <v>32.770000000000003</v>
      </c>
      <c r="F376" s="1">
        <v>7.0000000000000007E-2</v>
      </c>
      <c r="G376" s="2" t="s">
        <v>560</v>
      </c>
      <c r="H376" s="10">
        <v>-17.192499999999999</v>
      </c>
      <c r="I376" s="7">
        <v>5.74</v>
      </c>
      <c r="J376" s="7">
        <v>5.01</v>
      </c>
      <c r="K376" s="2" t="s">
        <v>908</v>
      </c>
      <c r="L376" s="16" t="s">
        <v>921</v>
      </c>
      <c r="M376" s="16" t="s">
        <v>921</v>
      </c>
      <c r="N376" s="2" t="s">
        <v>565</v>
      </c>
      <c r="O376" s="2" t="s">
        <v>568</v>
      </c>
      <c r="P376" s="2" t="s">
        <v>88</v>
      </c>
      <c r="Q376" s="1" t="s">
        <v>350</v>
      </c>
      <c r="R376" s="2" t="s">
        <v>585</v>
      </c>
      <c r="S376" s="8">
        <f>B376+7</f>
        <v>41186</v>
      </c>
    </row>
    <row r="377" spans="1:19" x14ac:dyDescent="0.15">
      <c r="A377" s="1">
        <v>30720</v>
      </c>
      <c r="B377" s="6">
        <f>DATE(2012,12,31)-95</f>
        <v>41179</v>
      </c>
      <c r="C377" s="2" t="s">
        <v>916</v>
      </c>
      <c r="D377" s="1">
        <v>37</v>
      </c>
      <c r="E377" s="1">
        <v>1701.53</v>
      </c>
      <c r="F377" s="1">
        <v>0.01</v>
      </c>
      <c r="G377" s="2" t="s">
        <v>561</v>
      </c>
      <c r="H377" s="10">
        <v>735.99</v>
      </c>
      <c r="I377" s="7">
        <v>43.98</v>
      </c>
      <c r="J377" s="7">
        <v>1.99</v>
      </c>
      <c r="K377" s="2" t="s">
        <v>908</v>
      </c>
      <c r="L377" s="16" t="s">
        <v>921</v>
      </c>
      <c r="M377" s="16" t="s">
        <v>921</v>
      </c>
      <c r="N377" s="2" t="s">
        <v>565</v>
      </c>
      <c r="O377" s="2" t="s">
        <v>569</v>
      </c>
      <c r="P377" s="2" t="s">
        <v>572</v>
      </c>
      <c r="Q377" s="1" t="s">
        <v>431</v>
      </c>
      <c r="R377" s="2" t="s">
        <v>587</v>
      </c>
      <c r="S377" s="8">
        <f>B377+7</f>
        <v>41186</v>
      </c>
    </row>
    <row r="378" spans="1:19" x14ac:dyDescent="0.15">
      <c r="A378" s="1">
        <v>30759</v>
      </c>
      <c r="B378" s="6">
        <f>DATE(2012,12,31)-1333</f>
        <v>39941</v>
      </c>
      <c r="C378" s="2" t="s">
        <v>915</v>
      </c>
      <c r="D378" s="1">
        <v>2</v>
      </c>
      <c r="E378" s="1">
        <v>64.790000000000006</v>
      </c>
      <c r="F378" s="1">
        <v>0.03</v>
      </c>
      <c r="G378" s="2" t="s">
        <v>560</v>
      </c>
      <c r="H378" s="10">
        <v>-41.32</v>
      </c>
      <c r="I378" s="7">
        <v>29.34</v>
      </c>
      <c r="J378" s="7">
        <v>7.87</v>
      </c>
      <c r="K378" s="2" t="s">
        <v>838</v>
      </c>
      <c r="L378" s="16" t="s">
        <v>921</v>
      </c>
      <c r="M378" s="16" t="s">
        <v>921</v>
      </c>
      <c r="N378" s="2" t="s">
        <v>567</v>
      </c>
      <c r="O378" s="2" t="s">
        <v>570</v>
      </c>
      <c r="P378" s="2" t="s">
        <v>579</v>
      </c>
      <c r="Q378" s="1" t="s">
        <v>156</v>
      </c>
      <c r="R378" s="2" t="s">
        <v>585</v>
      </c>
      <c r="S378" s="8">
        <f>B378+2</f>
        <v>39943</v>
      </c>
    </row>
    <row r="379" spans="1:19" x14ac:dyDescent="0.15">
      <c r="A379" s="1">
        <v>30848</v>
      </c>
      <c r="B379" s="6">
        <f>DATE(2012,12,31)-610</f>
        <v>40664</v>
      </c>
      <c r="C379" s="2" t="s">
        <v>914</v>
      </c>
      <c r="D379" s="1">
        <v>13</v>
      </c>
      <c r="E379" s="1">
        <v>4324.29</v>
      </c>
      <c r="F379" s="1">
        <v>0.09</v>
      </c>
      <c r="G379" s="2" t="s">
        <v>562</v>
      </c>
      <c r="H379" s="10">
        <v>298.83</v>
      </c>
      <c r="I379" s="7">
        <v>348.21</v>
      </c>
      <c r="J379" s="7">
        <v>40.19</v>
      </c>
      <c r="K379" s="2" t="s">
        <v>617</v>
      </c>
      <c r="L379" s="16" t="s">
        <v>921</v>
      </c>
      <c r="M379" s="16" t="s">
        <v>921</v>
      </c>
      <c r="N379" s="2" t="s">
        <v>567</v>
      </c>
      <c r="O379" s="2" t="s">
        <v>570</v>
      </c>
      <c r="P379" s="2" t="s">
        <v>578</v>
      </c>
      <c r="Q379" s="1" t="s">
        <v>282</v>
      </c>
      <c r="R379" s="2" t="s">
        <v>588</v>
      </c>
      <c r="S379" s="8">
        <f>B379+2</f>
        <v>40666</v>
      </c>
    </row>
    <row r="380" spans="1:19" x14ac:dyDescent="0.15">
      <c r="A380" s="1">
        <v>30885</v>
      </c>
      <c r="B380" s="6">
        <f>DATE(2012,12,31)-924</f>
        <v>40350</v>
      </c>
      <c r="C380" s="2" t="s">
        <v>913</v>
      </c>
      <c r="D380" s="1">
        <v>24</v>
      </c>
      <c r="E380" s="1">
        <v>234.24</v>
      </c>
      <c r="F380" s="1">
        <v>0.09</v>
      </c>
      <c r="G380" s="2" t="s">
        <v>560</v>
      </c>
      <c r="H380" s="10">
        <v>-151.80000000000001</v>
      </c>
      <c r="I380" s="7">
        <v>9.7100000000000009</v>
      </c>
      <c r="J380" s="7">
        <v>9.4499999999999993</v>
      </c>
      <c r="K380" s="2" t="s">
        <v>848</v>
      </c>
      <c r="L380" s="16" t="s">
        <v>921</v>
      </c>
      <c r="M380" s="16" t="s">
        <v>921</v>
      </c>
      <c r="N380" s="2" t="s">
        <v>567</v>
      </c>
      <c r="O380" s="2" t="s">
        <v>568</v>
      </c>
      <c r="P380" s="2" t="s">
        <v>577</v>
      </c>
      <c r="Q380" s="1" t="s">
        <v>312</v>
      </c>
      <c r="R380" s="2" t="s">
        <v>585</v>
      </c>
      <c r="S380" s="8">
        <f>B380+1</f>
        <v>40351</v>
      </c>
    </row>
    <row r="381" spans="1:19" x14ac:dyDescent="0.15">
      <c r="A381" s="1">
        <v>30887</v>
      </c>
      <c r="B381" s="6">
        <f>DATE(2012,12,31)-908</f>
        <v>40366</v>
      </c>
      <c r="C381" s="2" t="s">
        <v>917</v>
      </c>
      <c r="D381" s="1">
        <v>44</v>
      </c>
      <c r="E381" s="1">
        <v>4357.1170000000002</v>
      </c>
      <c r="F381" s="1">
        <v>7.0000000000000007E-2</v>
      </c>
      <c r="G381" s="2" t="s">
        <v>560</v>
      </c>
      <c r="H381" s="10">
        <v>1192.9769999999999</v>
      </c>
      <c r="I381" s="7">
        <v>115.99</v>
      </c>
      <c r="J381" s="7">
        <v>5.92</v>
      </c>
      <c r="K381" s="2" t="s">
        <v>838</v>
      </c>
      <c r="L381" s="16" t="s">
        <v>921</v>
      </c>
      <c r="M381" s="16" t="s">
        <v>921</v>
      </c>
      <c r="N381" s="2" t="s">
        <v>564</v>
      </c>
      <c r="O381" s="2" t="s">
        <v>569</v>
      </c>
      <c r="P381" s="2" t="s">
        <v>87</v>
      </c>
      <c r="Q381" s="1" t="s">
        <v>600</v>
      </c>
      <c r="R381" s="2" t="s">
        <v>585</v>
      </c>
      <c r="S381" s="8">
        <f>B381+0</f>
        <v>40366</v>
      </c>
    </row>
    <row r="382" spans="1:19" x14ac:dyDescent="0.15">
      <c r="A382" s="1">
        <v>31233</v>
      </c>
      <c r="B382" s="6">
        <f>DATE(2012,12,31)-464</f>
        <v>40810</v>
      </c>
      <c r="C382" s="2" t="s">
        <v>916</v>
      </c>
      <c r="D382" s="1">
        <v>41</v>
      </c>
      <c r="E382" s="1">
        <v>1298.29</v>
      </c>
      <c r="F382" s="1">
        <v>0.06</v>
      </c>
      <c r="G382" s="2" t="s">
        <v>560</v>
      </c>
      <c r="H382" s="10">
        <v>542.33000000000004</v>
      </c>
      <c r="I382" s="7">
        <v>31.78</v>
      </c>
      <c r="J382" s="7">
        <v>1.99</v>
      </c>
      <c r="K382" s="2" t="s">
        <v>838</v>
      </c>
      <c r="L382" s="16" t="s">
        <v>921</v>
      </c>
      <c r="M382" s="16" t="s">
        <v>921</v>
      </c>
      <c r="N382" s="2" t="s">
        <v>564</v>
      </c>
      <c r="O382" s="2" t="s">
        <v>569</v>
      </c>
      <c r="P382" s="2" t="s">
        <v>572</v>
      </c>
      <c r="Q382" s="1" t="s">
        <v>437</v>
      </c>
      <c r="R382" s="2" t="s">
        <v>587</v>
      </c>
      <c r="S382" s="8">
        <f>B382+4</f>
        <v>40814</v>
      </c>
    </row>
    <row r="383" spans="1:19" x14ac:dyDescent="0.15">
      <c r="A383" s="1">
        <v>31233</v>
      </c>
      <c r="B383" s="6">
        <f>DATE(2012,12,31)-464</f>
        <v>40810</v>
      </c>
      <c r="C383" s="2" t="s">
        <v>916</v>
      </c>
      <c r="D383" s="1">
        <v>3</v>
      </c>
      <c r="E383" s="1">
        <v>19.34</v>
      </c>
      <c r="F383" s="1">
        <v>0.06</v>
      </c>
      <c r="G383" s="2" t="s">
        <v>560</v>
      </c>
      <c r="H383" s="10">
        <v>-11.36</v>
      </c>
      <c r="I383" s="7">
        <v>4.9800000000000004</v>
      </c>
      <c r="J383" s="7">
        <v>5.0199999999999996</v>
      </c>
      <c r="K383" s="2" t="s">
        <v>838</v>
      </c>
      <c r="L383" s="16" t="s">
        <v>921</v>
      </c>
      <c r="M383" s="16" t="s">
        <v>921</v>
      </c>
      <c r="N383" s="2" t="s">
        <v>564</v>
      </c>
      <c r="O383" s="2" t="s">
        <v>568</v>
      </c>
      <c r="P383" s="2" t="s">
        <v>573</v>
      </c>
      <c r="Q383" s="1" t="s">
        <v>401</v>
      </c>
      <c r="R383" s="2" t="s">
        <v>585</v>
      </c>
      <c r="S383" s="8">
        <f>B383+2</f>
        <v>40812</v>
      </c>
    </row>
    <row r="384" spans="1:19" x14ac:dyDescent="0.15">
      <c r="A384" s="1">
        <v>31233</v>
      </c>
      <c r="B384" s="6">
        <f>DATE(2012,12,31)-464</f>
        <v>40810</v>
      </c>
      <c r="C384" s="2" t="s">
        <v>916</v>
      </c>
      <c r="D384" s="1">
        <v>35</v>
      </c>
      <c r="E384" s="1">
        <v>590.32000000000005</v>
      </c>
      <c r="F384" s="1">
        <v>0.06</v>
      </c>
      <c r="G384" s="2" t="s">
        <v>560</v>
      </c>
      <c r="H384" s="10">
        <v>-91.31</v>
      </c>
      <c r="I384" s="7">
        <v>16.989999999999998</v>
      </c>
      <c r="J384" s="7">
        <v>8.99</v>
      </c>
      <c r="K384" s="2" t="s">
        <v>838</v>
      </c>
      <c r="L384" s="16" t="s">
        <v>921</v>
      </c>
      <c r="M384" s="16" t="s">
        <v>921</v>
      </c>
      <c r="N384" s="2" t="s">
        <v>564</v>
      </c>
      <c r="O384" s="2" t="s">
        <v>568</v>
      </c>
      <c r="P384" s="2" t="s">
        <v>571</v>
      </c>
      <c r="Q384" s="1" t="s">
        <v>539</v>
      </c>
      <c r="R384" s="2" t="s">
        <v>587</v>
      </c>
      <c r="S384" s="8">
        <f>B384+4</f>
        <v>40814</v>
      </c>
    </row>
    <row r="385" spans="1:19" x14ac:dyDescent="0.15">
      <c r="A385" s="1">
        <v>31233</v>
      </c>
      <c r="B385" s="6">
        <f>DATE(2012,12,31)-464</f>
        <v>40810</v>
      </c>
      <c r="C385" s="2" t="s">
        <v>916</v>
      </c>
      <c r="D385" s="1">
        <v>19</v>
      </c>
      <c r="E385" s="1">
        <v>4245.93</v>
      </c>
      <c r="F385" s="1">
        <v>0</v>
      </c>
      <c r="G385" s="2" t="s">
        <v>560</v>
      </c>
      <c r="H385" s="10">
        <v>-626.45000000000005</v>
      </c>
      <c r="I385" s="7">
        <v>209.37</v>
      </c>
      <c r="J385" s="7">
        <v>69</v>
      </c>
      <c r="K385" s="2" t="s">
        <v>838</v>
      </c>
      <c r="L385" s="16" t="s">
        <v>921</v>
      </c>
      <c r="M385" s="16" t="s">
        <v>921</v>
      </c>
      <c r="N385" s="2" t="s">
        <v>564</v>
      </c>
      <c r="O385" s="2" t="s">
        <v>570</v>
      </c>
      <c r="P385" s="2" t="s">
        <v>578</v>
      </c>
      <c r="Q385" s="1" t="s">
        <v>116</v>
      </c>
      <c r="R385" s="2" t="s">
        <v>590</v>
      </c>
      <c r="S385" s="8">
        <f>B385+9</f>
        <v>40819</v>
      </c>
    </row>
    <row r="386" spans="1:19" x14ac:dyDescent="0.15">
      <c r="A386" s="1">
        <v>31461</v>
      </c>
      <c r="B386" s="6">
        <f>DATE(2012,12,31)-553</f>
        <v>40721</v>
      </c>
      <c r="C386" s="2" t="s">
        <v>914</v>
      </c>
      <c r="D386" s="1">
        <v>26</v>
      </c>
      <c r="E386" s="1">
        <v>1463.42</v>
      </c>
      <c r="F386" s="1">
        <v>0.08</v>
      </c>
      <c r="G386" s="2" t="s">
        <v>560</v>
      </c>
      <c r="H386" s="10">
        <v>350.82</v>
      </c>
      <c r="I386" s="7">
        <v>59.98</v>
      </c>
      <c r="J386" s="7">
        <v>3.99</v>
      </c>
      <c r="K386" s="2" t="s">
        <v>868</v>
      </c>
      <c r="L386" s="16" t="s">
        <v>921</v>
      </c>
      <c r="M386" s="16" t="s">
        <v>921</v>
      </c>
      <c r="N386" s="2" t="s">
        <v>567</v>
      </c>
      <c r="O386" s="2" t="s">
        <v>568</v>
      </c>
      <c r="P386" s="2" t="s">
        <v>576</v>
      </c>
      <c r="Q386" s="1" t="s">
        <v>670</v>
      </c>
      <c r="R386" s="2" t="s">
        <v>585</v>
      </c>
      <c r="S386" s="8">
        <f>B386+2</f>
        <v>40723</v>
      </c>
    </row>
    <row r="387" spans="1:19" x14ac:dyDescent="0.15">
      <c r="A387" s="1">
        <v>31524</v>
      </c>
      <c r="B387" s="6">
        <f>DATE(2012,12,31)-554</f>
        <v>40720</v>
      </c>
      <c r="C387" s="2" t="s">
        <v>916</v>
      </c>
      <c r="D387" s="1">
        <v>10</v>
      </c>
      <c r="E387" s="1">
        <v>1025.8800000000001</v>
      </c>
      <c r="F387" s="1">
        <v>0.08</v>
      </c>
      <c r="G387" s="2" t="s">
        <v>562</v>
      </c>
      <c r="H387" s="10">
        <v>-211.33</v>
      </c>
      <c r="I387" s="7">
        <v>100.89</v>
      </c>
      <c r="J387" s="7">
        <v>42</v>
      </c>
      <c r="K387" s="2" t="s">
        <v>891</v>
      </c>
      <c r="L387" s="16" t="s">
        <v>921</v>
      </c>
      <c r="M387" s="16" t="s">
        <v>921</v>
      </c>
      <c r="N387" s="2" t="s">
        <v>565</v>
      </c>
      <c r="O387" s="2" t="s">
        <v>570</v>
      </c>
      <c r="P387" s="2" t="s">
        <v>574</v>
      </c>
      <c r="Q387" s="1" t="s">
        <v>687</v>
      </c>
      <c r="R387" s="2" t="s">
        <v>586</v>
      </c>
      <c r="S387" s="8">
        <f>B387+2</f>
        <v>40722</v>
      </c>
    </row>
    <row r="388" spans="1:19" x14ac:dyDescent="0.15">
      <c r="A388" s="1">
        <v>31590</v>
      </c>
      <c r="B388" s="6">
        <f>DATE(2012,12,31)-940</f>
        <v>40334</v>
      </c>
      <c r="C388" s="2" t="s">
        <v>917</v>
      </c>
      <c r="D388" s="1">
        <v>5</v>
      </c>
      <c r="E388" s="1">
        <v>43.49</v>
      </c>
      <c r="F388" s="1">
        <v>0.06</v>
      </c>
      <c r="G388" s="2" t="s">
        <v>560</v>
      </c>
      <c r="H388" s="10">
        <v>-21.44</v>
      </c>
      <c r="I388" s="7">
        <v>8.33</v>
      </c>
      <c r="J388" s="7">
        <v>1.99</v>
      </c>
      <c r="K388" s="2" t="s">
        <v>890</v>
      </c>
      <c r="L388" s="16" t="s">
        <v>921</v>
      </c>
      <c r="M388" s="16" t="s">
        <v>921</v>
      </c>
      <c r="N388" s="2" t="s">
        <v>567</v>
      </c>
      <c r="O388" s="2" t="s">
        <v>569</v>
      </c>
      <c r="P388" s="2" t="s">
        <v>572</v>
      </c>
      <c r="Q388" s="1" t="s">
        <v>609</v>
      </c>
      <c r="R388" s="2" t="s">
        <v>587</v>
      </c>
      <c r="S388" s="8">
        <f>B388+1</f>
        <v>40335</v>
      </c>
    </row>
    <row r="389" spans="1:19" x14ac:dyDescent="0.15">
      <c r="A389" s="1">
        <v>31590</v>
      </c>
      <c r="B389" s="6">
        <f>DATE(2012,12,31)-940</f>
        <v>40334</v>
      </c>
      <c r="C389" s="2" t="s">
        <v>917</v>
      </c>
      <c r="D389" s="1">
        <v>27</v>
      </c>
      <c r="E389" s="1">
        <v>2854.76</v>
      </c>
      <c r="F389" s="1">
        <v>0.06</v>
      </c>
      <c r="G389" s="2" t="s">
        <v>560</v>
      </c>
      <c r="H389" s="10">
        <v>61.13</v>
      </c>
      <c r="I389" s="7">
        <v>111.03</v>
      </c>
      <c r="J389" s="7">
        <v>8.64</v>
      </c>
      <c r="K389" s="2" t="s">
        <v>890</v>
      </c>
      <c r="L389" s="16" t="s">
        <v>921</v>
      </c>
      <c r="M389" s="16" t="s">
        <v>921</v>
      </c>
      <c r="N389" s="2" t="s">
        <v>567</v>
      </c>
      <c r="O389" s="2" t="s">
        <v>568</v>
      </c>
      <c r="P389" s="2" t="s">
        <v>577</v>
      </c>
      <c r="Q389" s="1" t="s">
        <v>442</v>
      </c>
      <c r="R389" s="2" t="s">
        <v>585</v>
      </c>
      <c r="S389" s="8">
        <f>B389+2</f>
        <v>40336</v>
      </c>
    </row>
    <row r="390" spans="1:19" x14ac:dyDescent="0.15">
      <c r="A390" s="1">
        <v>31619</v>
      </c>
      <c r="B390" s="6">
        <f>DATE(2012,12,31)-1201</f>
        <v>40073</v>
      </c>
      <c r="C390" s="2" t="s">
        <v>916</v>
      </c>
      <c r="D390" s="1">
        <v>11</v>
      </c>
      <c r="E390" s="1">
        <v>114.87</v>
      </c>
      <c r="F390" s="1">
        <v>0.1</v>
      </c>
      <c r="G390" s="2" t="s">
        <v>560</v>
      </c>
      <c r="H390" s="10">
        <v>-21.03</v>
      </c>
      <c r="I390" s="7">
        <v>10.98</v>
      </c>
      <c r="J390" s="7">
        <v>3.99</v>
      </c>
      <c r="K390" s="2" t="s">
        <v>780</v>
      </c>
      <c r="L390" s="16" t="s">
        <v>921</v>
      </c>
      <c r="M390" s="16" t="s">
        <v>921</v>
      </c>
      <c r="N390" s="2" t="s">
        <v>567</v>
      </c>
      <c r="O390" s="2" t="s">
        <v>568</v>
      </c>
      <c r="P390" s="2" t="s">
        <v>576</v>
      </c>
      <c r="Q390" s="1" t="s">
        <v>411</v>
      </c>
      <c r="R390" s="2" t="s">
        <v>585</v>
      </c>
      <c r="S390" s="8">
        <f>B390+7</f>
        <v>40080</v>
      </c>
    </row>
    <row r="391" spans="1:19" x14ac:dyDescent="0.15">
      <c r="A391" s="1">
        <v>31619</v>
      </c>
      <c r="B391" s="6">
        <f>DATE(2012,12,31)-1201</f>
        <v>40073</v>
      </c>
      <c r="C391" s="2" t="s">
        <v>916</v>
      </c>
      <c r="D391" s="1">
        <v>9</v>
      </c>
      <c r="E391" s="1">
        <v>383.23</v>
      </c>
      <c r="F391" s="1">
        <v>0.01</v>
      </c>
      <c r="G391" s="2" t="s">
        <v>560</v>
      </c>
      <c r="H391" s="10">
        <v>146.51</v>
      </c>
      <c r="I391" s="7">
        <v>39.979999999999997</v>
      </c>
      <c r="J391" s="7">
        <v>9.1999999999999993</v>
      </c>
      <c r="K391" s="2" t="s">
        <v>780</v>
      </c>
      <c r="L391" s="16" t="s">
        <v>919</v>
      </c>
      <c r="M391" s="4" t="s">
        <v>563</v>
      </c>
      <c r="N391" s="2" t="s">
        <v>567</v>
      </c>
      <c r="O391" s="2" t="s">
        <v>570</v>
      </c>
      <c r="P391" s="2" t="s">
        <v>579</v>
      </c>
      <c r="Q391" s="1" t="s">
        <v>15</v>
      </c>
      <c r="R391" s="2" t="s">
        <v>584</v>
      </c>
      <c r="S391" s="8">
        <f>B391+2</f>
        <v>40075</v>
      </c>
    </row>
    <row r="392" spans="1:19" x14ac:dyDescent="0.15">
      <c r="A392" s="1">
        <v>31715</v>
      </c>
      <c r="B392" s="6">
        <f>DATE(2012,12,31)-1452</f>
        <v>39822</v>
      </c>
      <c r="C392" s="2" t="s">
        <v>915</v>
      </c>
      <c r="D392" s="1">
        <v>11</v>
      </c>
      <c r="E392" s="1">
        <v>68.5</v>
      </c>
      <c r="F392" s="1">
        <v>0.01</v>
      </c>
      <c r="G392" s="2" t="s">
        <v>560</v>
      </c>
      <c r="H392" s="10">
        <v>-53.854500000000002</v>
      </c>
      <c r="I392" s="7">
        <v>5.38</v>
      </c>
      <c r="J392" s="7">
        <v>7.57</v>
      </c>
      <c r="K392" s="2" t="s">
        <v>815</v>
      </c>
      <c r="L392" s="16" t="s">
        <v>919</v>
      </c>
      <c r="M392" s="4" t="s">
        <v>563</v>
      </c>
      <c r="N392" s="2" t="s">
        <v>565</v>
      </c>
      <c r="O392" s="2" t="s">
        <v>568</v>
      </c>
      <c r="P392" s="2" t="s">
        <v>88</v>
      </c>
      <c r="Q392" s="1" t="s">
        <v>694</v>
      </c>
      <c r="R392" s="2" t="s">
        <v>585</v>
      </c>
      <c r="S392" s="8">
        <f>B392+1</f>
        <v>39823</v>
      </c>
    </row>
    <row r="393" spans="1:19" x14ac:dyDescent="0.15">
      <c r="A393" s="1">
        <v>31715</v>
      </c>
      <c r="B393" s="6">
        <f>DATE(2012,12,31)-1452</f>
        <v>39822</v>
      </c>
      <c r="C393" s="2" t="s">
        <v>915</v>
      </c>
      <c r="D393" s="1">
        <v>44</v>
      </c>
      <c r="E393" s="1">
        <v>145.19</v>
      </c>
      <c r="F393" s="1">
        <v>0.05</v>
      </c>
      <c r="G393" s="2" t="s">
        <v>560</v>
      </c>
      <c r="H393" s="10">
        <v>-116.87</v>
      </c>
      <c r="I393" s="7">
        <v>3.28</v>
      </c>
      <c r="J393" s="7">
        <v>3.97</v>
      </c>
      <c r="K393" s="2" t="s">
        <v>815</v>
      </c>
      <c r="L393" s="16" t="s">
        <v>919</v>
      </c>
      <c r="M393" s="4" t="s">
        <v>563</v>
      </c>
      <c r="N393" s="2" t="s">
        <v>565</v>
      </c>
      <c r="O393" s="2" t="s">
        <v>568</v>
      </c>
      <c r="P393" s="2" t="s">
        <v>571</v>
      </c>
      <c r="Q393" s="1" t="s">
        <v>489</v>
      </c>
      <c r="R393" s="2" t="s">
        <v>584</v>
      </c>
      <c r="S393" s="8">
        <f>B393+0</f>
        <v>39822</v>
      </c>
    </row>
    <row r="394" spans="1:19" x14ac:dyDescent="0.15">
      <c r="A394" s="1">
        <v>32099</v>
      </c>
      <c r="B394" s="6">
        <f>DATE(2012,12,31)-971</f>
        <v>40303</v>
      </c>
      <c r="C394" s="2" t="s">
        <v>915</v>
      </c>
      <c r="D394" s="1">
        <v>41</v>
      </c>
      <c r="E394" s="1">
        <v>506.73</v>
      </c>
      <c r="F394" s="1">
        <v>0.08</v>
      </c>
      <c r="G394" s="2" t="s">
        <v>560</v>
      </c>
      <c r="H394" s="10">
        <v>25.58</v>
      </c>
      <c r="I394" s="7">
        <v>12.28</v>
      </c>
      <c r="J394" s="7">
        <v>6.47</v>
      </c>
      <c r="K394" s="2" t="s">
        <v>865</v>
      </c>
      <c r="L394" s="16" t="s">
        <v>919</v>
      </c>
      <c r="M394" s="4" t="s">
        <v>563</v>
      </c>
      <c r="N394" s="2" t="s">
        <v>564</v>
      </c>
      <c r="O394" s="2" t="s">
        <v>568</v>
      </c>
      <c r="P394" s="2" t="s">
        <v>573</v>
      </c>
      <c r="Q394" s="1" t="s">
        <v>148</v>
      </c>
      <c r="R394" s="2" t="s">
        <v>585</v>
      </c>
      <c r="S394" s="8">
        <f>B394+0</f>
        <v>40303</v>
      </c>
    </row>
    <row r="395" spans="1:19" x14ac:dyDescent="0.15">
      <c r="A395" s="1">
        <v>32129</v>
      </c>
      <c r="B395" s="6">
        <f>DATE(2012,12,31)-548</f>
        <v>40726</v>
      </c>
      <c r="C395" s="2" t="s">
        <v>917</v>
      </c>
      <c r="D395" s="1">
        <v>20</v>
      </c>
      <c r="E395" s="1">
        <v>129.27000000000001</v>
      </c>
      <c r="F395" s="1">
        <v>7.0000000000000007E-2</v>
      </c>
      <c r="G395" s="2" t="s">
        <v>560</v>
      </c>
      <c r="H395" s="10">
        <v>-105.15</v>
      </c>
      <c r="I395" s="7">
        <v>6.48</v>
      </c>
      <c r="J395" s="7">
        <v>8.74</v>
      </c>
      <c r="K395" s="2" t="s">
        <v>785</v>
      </c>
      <c r="L395" s="16" t="s">
        <v>919</v>
      </c>
      <c r="M395" s="4" t="s">
        <v>563</v>
      </c>
      <c r="N395" s="2" t="s">
        <v>566</v>
      </c>
      <c r="O395" s="2" t="s">
        <v>568</v>
      </c>
      <c r="P395" s="2" t="s">
        <v>573</v>
      </c>
      <c r="Q395" s="1" t="s">
        <v>103</v>
      </c>
      <c r="R395" s="2" t="s">
        <v>585</v>
      </c>
      <c r="S395" s="8">
        <f>B395+1</f>
        <v>40727</v>
      </c>
    </row>
    <row r="396" spans="1:19" x14ac:dyDescent="0.15">
      <c r="A396" s="1">
        <v>32129</v>
      </c>
      <c r="B396" s="6">
        <f>DATE(2012,12,31)-548</f>
        <v>40726</v>
      </c>
      <c r="C396" s="2" t="s">
        <v>917</v>
      </c>
      <c r="D396" s="1">
        <v>4</v>
      </c>
      <c r="E396" s="1">
        <v>8467.68</v>
      </c>
      <c r="F396" s="1">
        <v>0.01</v>
      </c>
      <c r="G396" s="2" t="s">
        <v>562</v>
      </c>
      <c r="H396" s="10">
        <v>-3669.0509999999999</v>
      </c>
      <c r="I396" s="7">
        <v>2036.48</v>
      </c>
      <c r="J396" s="7">
        <v>14.7</v>
      </c>
      <c r="K396" s="2" t="s">
        <v>785</v>
      </c>
      <c r="L396" s="16" t="s">
        <v>919</v>
      </c>
      <c r="M396" s="4" t="s">
        <v>563</v>
      </c>
      <c r="N396" s="2" t="s">
        <v>566</v>
      </c>
      <c r="O396" s="2" t="s">
        <v>569</v>
      </c>
      <c r="P396" s="2" t="s">
        <v>583</v>
      </c>
      <c r="Q396" s="1" t="s">
        <v>255</v>
      </c>
      <c r="R396" s="2" t="s">
        <v>586</v>
      </c>
      <c r="S396" s="8">
        <f>B396+2</f>
        <v>40728</v>
      </c>
    </row>
    <row r="397" spans="1:19" x14ac:dyDescent="0.15">
      <c r="A397" s="1">
        <v>32291</v>
      </c>
      <c r="B397" s="6">
        <f>DATE(2012,12,31)-1152</f>
        <v>40122</v>
      </c>
      <c r="C397" s="2" t="s">
        <v>914</v>
      </c>
      <c r="D397" s="1">
        <v>13</v>
      </c>
      <c r="E397" s="1">
        <v>183.22</v>
      </c>
      <c r="F397" s="1">
        <v>0.01</v>
      </c>
      <c r="G397" s="2" t="s">
        <v>560</v>
      </c>
      <c r="H397" s="10">
        <v>-100.89</v>
      </c>
      <c r="I397" s="7">
        <v>12.99</v>
      </c>
      <c r="J397" s="7">
        <v>14.37</v>
      </c>
      <c r="K397" s="2" t="s">
        <v>813</v>
      </c>
      <c r="L397" s="16" t="s">
        <v>919</v>
      </c>
      <c r="M397" s="4" t="s">
        <v>563</v>
      </c>
      <c r="N397" s="2" t="s">
        <v>565</v>
      </c>
      <c r="O397" s="2" t="s">
        <v>570</v>
      </c>
      <c r="P397" s="2" t="s">
        <v>579</v>
      </c>
      <c r="Q397" s="1" t="s">
        <v>663</v>
      </c>
      <c r="R397" s="2" t="s">
        <v>590</v>
      </c>
      <c r="S397" s="8">
        <f>B397+0</f>
        <v>40122</v>
      </c>
    </row>
    <row r="398" spans="1:19" x14ac:dyDescent="0.15">
      <c r="A398" s="1">
        <v>32291</v>
      </c>
      <c r="B398" s="6">
        <f>DATE(2012,12,31)-1152</f>
        <v>40122</v>
      </c>
      <c r="C398" s="2" t="s">
        <v>914</v>
      </c>
      <c r="D398" s="1">
        <v>4</v>
      </c>
      <c r="E398" s="1">
        <v>68.03</v>
      </c>
      <c r="F398" s="1">
        <v>0.02</v>
      </c>
      <c r="G398" s="2" t="s">
        <v>560</v>
      </c>
      <c r="H398" s="10">
        <v>-29.42</v>
      </c>
      <c r="I398" s="7">
        <v>15.14</v>
      </c>
      <c r="J398" s="7">
        <v>4.53</v>
      </c>
      <c r="K398" s="2" t="s">
        <v>813</v>
      </c>
      <c r="L398" s="16" t="s">
        <v>919</v>
      </c>
      <c r="M398" s="4" t="s">
        <v>563</v>
      </c>
      <c r="N398" s="2" t="s">
        <v>565</v>
      </c>
      <c r="O398" s="2" t="s">
        <v>568</v>
      </c>
      <c r="P398" s="2" t="s">
        <v>577</v>
      </c>
      <c r="Q398" s="1" t="s">
        <v>20</v>
      </c>
      <c r="R398" s="2" t="s">
        <v>585</v>
      </c>
      <c r="S398" s="8">
        <f>B398+1</f>
        <v>40123</v>
      </c>
    </row>
    <row r="399" spans="1:19" x14ac:dyDescent="0.15">
      <c r="A399" s="1">
        <v>32902</v>
      </c>
      <c r="B399" s="6">
        <f>DATE(2012,12,31)-303</f>
        <v>40971</v>
      </c>
      <c r="C399" s="2" t="s">
        <v>913</v>
      </c>
      <c r="D399" s="1">
        <v>23</v>
      </c>
      <c r="E399" s="1">
        <v>1638.67</v>
      </c>
      <c r="F399" s="1">
        <v>0.05</v>
      </c>
      <c r="G399" s="2" t="s">
        <v>562</v>
      </c>
      <c r="H399" s="10">
        <v>-527.83000000000004</v>
      </c>
      <c r="I399" s="7">
        <v>68.81</v>
      </c>
      <c r="J399" s="7">
        <v>60</v>
      </c>
      <c r="K399" s="2" t="s">
        <v>831</v>
      </c>
      <c r="L399" s="16" t="s">
        <v>919</v>
      </c>
      <c r="M399" s="4" t="s">
        <v>563</v>
      </c>
      <c r="N399" s="2" t="s">
        <v>564</v>
      </c>
      <c r="O399" s="2" t="s">
        <v>568</v>
      </c>
      <c r="P399" s="2" t="s">
        <v>576</v>
      </c>
      <c r="Q399" s="1" t="s">
        <v>462</v>
      </c>
      <c r="R399" s="2" t="s">
        <v>586</v>
      </c>
      <c r="S399" s="8">
        <f>B399+2</f>
        <v>40973</v>
      </c>
    </row>
    <row r="400" spans="1:19" x14ac:dyDescent="0.15">
      <c r="A400" s="1">
        <v>32902</v>
      </c>
      <c r="B400" s="6">
        <f>DATE(2012,12,31)-303</f>
        <v>40971</v>
      </c>
      <c r="C400" s="2" t="s">
        <v>913</v>
      </c>
      <c r="D400" s="1">
        <v>8</v>
      </c>
      <c r="E400" s="1">
        <v>64.099999999999994</v>
      </c>
      <c r="F400" s="1">
        <v>0.03</v>
      </c>
      <c r="G400" s="2" t="s">
        <v>560</v>
      </c>
      <c r="H400" s="10">
        <v>-48.28</v>
      </c>
      <c r="I400" s="7">
        <v>6.84</v>
      </c>
      <c r="J400" s="7">
        <v>8.3699999999999992</v>
      </c>
      <c r="K400" s="2" t="s">
        <v>831</v>
      </c>
      <c r="L400" s="16" t="s">
        <v>919</v>
      </c>
      <c r="M400" s="4" t="s">
        <v>563</v>
      </c>
      <c r="N400" s="2" t="s">
        <v>564</v>
      </c>
      <c r="O400" s="2" t="s">
        <v>568</v>
      </c>
      <c r="P400" s="2" t="s">
        <v>89</v>
      </c>
      <c r="Q400" s="1" t="s">
        <v>460</v>
      </c>
      <c r="R400" s="2" t="s">
        <v>587</v>
      </c>
      <c r="S400" s="8">
        <f>B400+2</f>
        <v>40973</v>
      </c>
    </row>
    <row r="401" spans="1:19" x14ac:dyDescent="0.15">
      <c r="A401" s="1">
        <v>32932</v>
      </c>
      <c r="B401" s="6">
        <f>DATE(2012,12,31)-1087</f>
        <v>40187</v>
      </c>
      <c r="C401" s="2" t="s">
        <v>916</v>
      </c>
      <c r="D401" s="1">
        <v>49</v>
      </c>
      <c r="E401" s="1">
        <v>29884.6</v>
      </c>
      <c r="F401" s="1">
        <v>0.05</v>
      </c>
      <c r="G401" s="2" t="s">
        <v>560</v>
      </c>
      <c r="H401" s="10">
        <v>12748.86</v>
      </c>
      <c r="I401" s="7">
        <v>599.99</v>
      </c>
      <c r="J401" s="7">
        <v>24.49</v>
      </c>
      <c r="K401" s="2" t="s">
        <v>842</v>
      </c>
      <c r="L401" s="16" t="s">
        <v>919</v>
      </c>
      <c r="M401" s="4" t="s">
        <v>563</v>
      </c>
      <c r="N401" s="2" t="s">
        <v>567</v>
      </c>
      <c r="O401" s="2" t="s">
        <v>569</v>
      </c>
      <c r="P401" s="2" t="s">
        <v>90</v>
      </c>
      <c r="Q401" s="1" t="s">
        <v>688</v>
      </c>
      <c r="R401" s="2" t="s">
        <v>590</v>
      </c>
      <c r="S401" s="8">
        <f>B401+4</f>
        <v>40191</v>
      </c>
    </row>
    <row r="402" spans="1:19" x14ac:dyDescent="0.15">
      <c r="A402" s="1">
        <v>33095</v>
      </c>
      <c r="B402" s="6">
        <f>DATE(2012,12,31)-1415</f>
        <v>39859</v>
      </c>
      <c r="C402" s="2" t="s">
        <v>915</v>
      </c>
      <c r="D402" s="1">
        <v>30</v>
      </c>
      <c r="E402" s="1">
        <v>4846.74</v>
      </c>
      <c r="F402" s="1">
        <v>0.01</v>
      </c>
      <c r="G402" s="2" t="s">
        <v>560</v>
      </c>
      <c r="H402" s="10">
        <v>1689.93</v>
      </c>
      <c r="I402" s="7">
        <v>159.99</v>
      </c>
      <c r="J402" s="7">
        <v>5.5</v>
      </c>
      <c r="K402" s="2" t="s">
        <v>812</v>
      </c>
      <c r="L402" s="16" t="s">
        <v>919</v>
      </c>
      <c r="M402" s="4" t="s">
        <v>563</v>
      </c>
      <c r="N402" s="2" t="s">
        <v>566</v>
      </c>
      <c r="O402" s="2" t="s">
        <v>569</v>
      </c>
      <c r="P402" s="2" t="s">
        <v>572</v>
      </c>
      <c r="Q402" s="1" t="s">
        <v>145</v>
      </c>
      <c r="R402" s="2" t="s">
        <v>585</v>
      </c>
      <c r="S402" s="8">
        <f>B402+2</f>
        <v>39861</v>
      </c>
    </row>
    <row r="403" spans="1:19" x14ac:dyDescent="0.15">
      <c r="A403" s="1">
        <v>33095</v>
      </c>
      <c r="B403" s="6">
        <f>DATE(2012,12,31)-1415</f>
        <v>39859</v>
      </c>
      <c r="C403" s="2" t="s">
        <v>915</v>
      </c>
      <c r="D403" s="1">
        <v>34</v>
      </c>
      <c r="E403" s="1">
        <v>2548.3000000000002</v>
      </c>
      <c r="F403" s="1">
        <v>0.1</v>
      </c>
      <c r="G403" s="2" t="s">
        <v>560</v>
      </c>
      <c r="H403" s="10">
        <v>875.57</v>
      </c>
      <c r="I403" s="7">
        <v>78.69</v>
      </c>
      <c r="J403" s="7">
        <v>19.989999999999998</v>
      </c>
      <c r="K403" s="2" t="s">
        <v>812</v>
      </c>
      <c r="L403" s="16" t="s">
        <v>919</v>
      </c>
      <c r="M403" s="4" t="s">
        <v>563</v>
      </c>
      <c r="N403" s="2" t="s">
        <v>566</v>
      </c>
      <c r="O403" s="2" t="s">
        <v>570</v>
      </c>
      <c r="P403" s="2" t="s">
        <v>579</v>
      </c>
      <c r="Q403" s="1" t="s">
        <v>703</v>
      </c>
      <c r="R403" s="2" t="s">
        <v>585</v>
      </c>
      <c r="S403" s="8">
        <f>B403+1</f>
        <v>39860</v>
      </c>
    </row>
    <row r="404" spans="1:19" x14ac:dyDescent="0.15">
      <c r="A404" s="1">
        <v>33126</v>
      </c>
      <c r="B404" s="6">
        <f>DATE(2012,12,31)-415</f>
        <v>40859</v>
      </c>
      <c r="C404" s="2" t="s">
        <v>917</v>
      </c>
      <c r="D404" s="1">
        <v>46</v>
      </c>
      <c r="E404" s="1">
        <v>5979.84</v>
      </c>
      <c r="F404" s="1">
        <v>0.01</v>
      </c>
      <c r="G404" s="2" t="s">
        <v>561</v>
      </c>
      <c r="H404" s="10">
        <v>1779.01</v>
      </c>
      <c r="I404" s="7">
        <v>128.24</v>
      </c>
      <c r="J404" s="7">
        <v>12.65</v>
      </c>
      <c r="K404" s="2" t="s">
        <v>892</v>
      </c>
      <c r="L404" s="16" t="s">
        <v>919</v>
      </c>
      <c r="M404" s="4" t="s">
        <v>563</v>
      </c>
      <c r="N404" s="2" t="s">
        <v>565</v>
      </c>
      <c r="O404" s="2" t="s">
        <v>570</v>
      </c>
      <c r="P404" s="2" t="s">
        <v>574</v>
      </c>
      <c r="Q404" s="1" t="s">
        <v>64</v>
      </c>
      <c r="R404" s="2" t="s">
        <v>589</v>
      </c>
      <c r="S404" s="8">
        <f>B404+1</f>
        <v>40860</v>
      </c>
    </row>
    <row r="405" spans="1:19" x14ac:dyDescent="0.15">
      <c r="A405" s="1">
        <v>33126</v>
      </c>
      <c r="B405" s="6">
        <f>DATE(2012,12,31)-415</f>
        <v>40859</v>
      </c>
      <c r="C405" s="2" t="s">
        <v>917</v>
      </c>
      <c r="D405" s="1">
        <v>28</v>
      </c>
      <c r="E405" s="1">
        <v>175.76</v>
      </c>
      <c r="F405" s="1">
        <v>0.06</v>
      </c>
      <c r="G405" s="2" t="s">
        <v>560</v>
      </c>
      <c r="H405" s="10">
        <v>80.36</v>
      </c>
      <c r="I405" s="7">
        <v>6.3</v>
      </c>
      <c r="J405" s="7">
        <v>0.5</v>
      </c>
      <c r="K405" s="2" t="s">
        <v>892</v>
      </c>
      <c r="L405" s="16" t="s">
        <v>919</v>
      </c>
      <c r="M405" s="4" t="s">
        <v>563</v>
      </c>
      <c r="N405" s="2" t="s">
        <v>565</v>
      </c>
      <c r="O405" s="2" t="s">
        <v>568</v>
      </c>
      <c r="P405" s="2" t="s">
        <v>582</v>
      </c>
      <c r="Q405" s="1" t="s">
        <v>16</v>
      </c>
      <c r="R405" s="2" t="s">
        <v>585</v>
      </c>
      <c r="S405" s="8">
        <f>B405+2</f>
        <v>40861</v>
      </c>
    </row>
    <row r="406" spans="1:19" x14ac:dyDescent="0.15">
      <c r="A406" s="1">
        <v>33222</v>
      </c>
      <c r="B406" s="6">
        <f>DATE(2012,12,31)-195</f>
        <v>41079</v>
      </c>
      <c r="C406" s="2" t="s">
        <v>914</v>
      </c>
      <c r="D406" s="1">
        <v>18</v>
      </c>
      <c r="E406" s="1">
        <v>420.76</v>
      </c>
      <c r="F406" s="1">
        <v>0.05</v>
      </c>
      <c r="G406" s="2" t="s">
        <v>560</v>
      </c>
      <c r="H406" s="10">
        <v>-56.212000000000003</v>
      </c>
      <c r="I406" s="7">
        <v>22.38</v>
      </c>
      <c r="J406" s="7">
        <v>15.1</v>
      </c>
      <c r="K406" s="2" t="s">
        <v>805</v>
      </c>
      <c r="L406" s="16" t="s">
        <v>919</v>
      </c>
      <c r="M406" s="4" t="s">
        <v>563</v>
      </c>
      <c r="N406" s="2" t="s">
        <v>564</v>
      </c>
      <c r="O406" s="2" t="s">
        <v>568</v>
      </c>
      <c r="P406" s="2" t="s">
        <v>88</v>
      </c>
      <c r="Q406" s="1" t="s">
        <v>41</v>
      </c>
      <c r="R406" s="2" t="s">
        <v>585</v>
      </c>
      <c r="S406" s="8">
        <f>B406+2</f>
        <v>41081</v>
      </c>
    </row>
    <row r="407" spans="1:19" x14ac:dyDescent="0.15">
      <c r="A407" s="1">
        <v>33222</v>
      </c>
      <c r="B407" s="6">
        <f>DATE(2012,12,31)-195</f>
        <v>41079</v>
      </c>
      <c r="C407" s="2" t="s">
        <v>914</v>
      </c>
      <c r="D407" s="1">
        <v>30</v>
      </c>
      <c r="E407" s="1">
        <v>1676.46</v>
      </c>
      <c r="F407" s="1">
        <v>0.1</v>
      </c>
      <c r="G407" s="2" t="s">
        <v>562</v>
      </c>
      <c r="H407" s="10">
        <v>-626.08000000000004</v>
      </c>
      <c r="I407" s="7">
        <v>60.98</v>
      </c>
      <c r="J407" s="7">
        <v>30</v>
      </c>
      <c r="K407" s="2" t="s">
        <v>805</v>
      </c>
      <c r="L407" s="16" t="s">
        <v>919</v>
      </c>
      <c r="M407" s="4" t="s">
        <v>563</v>
      </c>
      <c r="N407" s="2" t="s">
        <v>564</v>
      </c>
      <c r="O407" s="2" t="s">
        <v>570</v>
      </c>
      <c r="P407" s="2" t="s">
        <v>574</v>
      </c>
      <c r="Q407" s="1" t="s">
        <v>323</v>
      </c>
      <c r="R407" s="2" t="s">
        <v>586</v>
      </c>
      <c r="S407" s="8">
        <f>B407+1</f>
        <v>41080</v>
      </c>
    </row>
    <row r="408" spans="1:19" x14ac:dyDescent="0.15">
      <c r="A408" s="1">
        <v>33222</v>
      </c>
      <c r="B408" s="6">
        <f>DATE(2012,12,31)-195</f>
        <v>41079</v>
      </c>
      <c r="C408" s="2" t="s">
        <v>914</v>
      </c>
      <c r="D408" s="1">
        <v>48</v>
      </c>
      <c r="E408" s="1">
        <v>145.66</v>
      </c>
      <c r="F408" s="1">
        <v>0.02</v>
      </c>
      <c r="G408" s="2" t="s">
        <v>560</v>
      </c>
      <c r="H408" s="10">
        <v>28.89</v>
      </c>
      <c r="I408" s="7">
        <v>2.88</v>
      </c>
      <c r="J408" s="7">
        <v>0.7</v>
      </c>
      <c r="K408" s="2" t="s">
        <v>805</v>
      </c>
      <c r="L408" s="16" t="s">
        <v>919</v>
      </c>
      <c r="M408" s="4" t="s">
        <v>563</v>
      </c>
      <c r="N408" s="2" t="s">
        <v>564</v>
      </c>
      <c r="O408" s="2" t="s">
        <v>568</v>
      </c>
      <c r="P408" s="2" t="s">
        <v>571</v>
      </c>
      <c r="Q408" s="1" t="s">
        <v>10</v>
      </c>
      <c r="R408" s="2" t="s">
        <v>584</v>
      </c>
      <c r="S408" s="8">
        <f>B408+2</f>
        <v>41081</v>
      </c>
    </row>
    <row r="409" spans="1:19" x14ac:dyDescent="0.15">
      <c r="A409" s="1">
        <v>33317</v>
      </c>
      <c r="B409" s="6">
        <f>DATE(2012,12,31)-1330</f>
        <v>39944</v>
      </c>
      <c r="C409" s="2" t="s">
        <v>913</v>
      </c>
      <c r="D409" s="1">
        <v>35</v>
      </c>
      <c r="E409" s="1">
        <v>203.35</v>
      </c>
      <c r="F409" s="1">
        <v>0.08</v>
      </c>
      <c r="G409" s="2" t="s">
        <v>560</v>
      </c>
      <c r="H409" s="10">
        <v>-1605.73</v>
      </c>
      <c r="I409" s="7">
        <v>4.4800000000000004</v>
      </c>
      <c r="J409" s="7">
        <v>49</v>
      </c>
      <c r="K409" s="2" t="s">
        <v>900</v>
      </c>
      <c r="L409" s="16" t="s">
        <v>919</v>
      </c>
      <c r="M409" s="4" t="s">
        <v>563</v>
      </c>
      <c r="N409" s="2" t="s">
        <v>566</v>
      </c>
      <c r="O409" s="2" t="s">
        <v>568</v>
      </c>
      <c r="P409" s="2" t="s">
        <v>576</v>
      </c>
      <c r="Q409" s="1" t="s">
        <v>296</v>
      </c>
      <c r="R409" s="2" t="s">
        <v>590</v>
      </c>
      <c r="S409" s="8">
        <f>B409+2</f>
        <v>39946</v>
      </c>
    </row>
    <row r="410" spans="1:19" x14ac:dyDescent="0.15">
      <c r="A410" s="1">
        <v>33317</v>
      </c>
      <c r="B410" s="6">
        <f>DATE(2012,12,31)-1330</f>
        <v>39944</v>
      </c>
      <c r="C410" s="2" t="s">
        <v>913</v>
      </c>
      <c r="D410" s="1">
        <v>18</v>
      </c>
      <c r="E410" s="1">
        <v>44.52</v>
      </c>
      <c r="F410" s="1">
        <v>0.03</v>
      </c>
      <c r="G410" s="2" t="s">
        <v>560</v>
      </c>
      <c r="H410" s="10">
        <v>-90.585499999999996</v>
      </c>
      <c r="I410" s="7">
        <v>2.16</v>
      </c>
      <c r="J410" s="7">
        <v>6.05</v>
      </c>
      <c r="K410" s="2" t="s">
        <v>900</v>
      </c>
      <c r="L410" s="16" t="s">
        <v>919</v>
      </c>
      <c r="M410" s="4" t="s">
        <v>563</v>
      </c>
      <c r="N410" s="2" t="s">
        <v>566</v>
      </c>
      <c r="O410" s="2" t="s">
        <v>568</v>
      </c>
      <c r="P410" s="2" t="s">
        <v>88</v>
      </c>
      <c r="Q410" s="1" t="s">
        <v>230</v>
      </c>
      <c r="R410" s="2" t="s">
        <v>585</v>
      </c>
      <c r="S410" s="8">
        <f>B410+1</f>
        <v>39945</v>
      </c>
    </row>
    <row r="411" spans="1:19" x14ac:dyDescent="0.15">
      <c r="A411" s="1">
        <v>33317</v>
      </c>
      <c r="B411" s="6">
        <f>DATE(2012,12,31)-1330</f>
        <v>39944</v>
      </c>
      <c r="C411" s="2" t="s">
        <v>913</v>
      </c>
      <c r="D411" s="1">
        <v>5</v>
      </c>
      <c r="E411" s="1">
        <v>58.9</v>
      </c>
      <c r="F411" s="1">
        <v>0.03</v>
      </c>
      <c r="G411" s="2" t="s">
        <v>560</v>
      </c>
      <c r="H411" s="10">
        <v>-36.9</v>
      </c>
      <c r="I411" s="7">
        <v>9.7100000000000009</v>
      </c>
      <c r="J411" s="7">
        <v>9.4499999999999993</v>
      </c>
      <c r="K411" s="2" t="s">
        <v>900</v>
      </c>
      <c r="L411" s="16" t="s">
        <v>919</v>
      </c>
      <c r="M411" s="4" t="s">
        <v>563</v>
      </c>
      <c r="N411" s="2" t="s">
        <v>566</v>
      </c>
      <c r="O411" s="2" t="s">
        <v>568</v>
      </c>
      <c r="P411" s="2" t="s">
        <v>577</v>
      </c>
      <c r="Q411" s="1" t="s">
        <v>312</v>
      </c>
      <c r="R411" s="2" t="s">
        <v>585</v>
      </c>
      <c r="S411" s="8">
        <f>B411+0</f>
        <v>39944</v>
      </c>
    </row>
    <row r="412" spans="1:19" x14ac:dyDescent="0.15">
      <c r="A412" s="1">
        <v>33317</v>
      </c>
      <c r="B412" s="6">
        <f>DATE(2012,12,31)-1330</f>
        <v>39944</v>
      </c>
      <c r="C412" s="2" t="s">
        <v>913</v>
      </c>
      <c r="D412" s="1">
        <v>13</v>
      </c>
      <c r="E412" s="1">
        <v>602.42049999999995</v>
      </c>
      <c r="F412" s="1">
        <v>0.09</v>
      </c>
      <c r="G412" s="2" t="s">
        <v>560</v>
      </c>
      <c r="H412" s="10">
        <v>10.979999999999945</v>
      </c>
      <c r="I412" s="7">
        <v>55.99</v>
      </c>
      <c r="J412" s="7">
        <v>1.25</v>
      </c>
      <c r="K412" s="2" t="s">
        <v>900</v>
      </c>
      <c r="L412" s="16" t="s">
        <v>919</v>
      </c>
      <c r="M412" s="4" t="s">
        <v>563</v>
      </c>
      <c r="N412" s="2" t="s">
        <v>566</v>
      </c>
      <c r="O412" s="2" t="s">
        <v>569</v>
      </c>
      <c r="P412" s="2" t="s">
        <v>87</v>
      </c>
      <c r="Q412" s="1" t="s">
        <v>256</v>
      </c>
      <c r="R412" s="2" t="s">
        <v>587</v>
      </c>
      <c r="S412" s="8">
        <f>B412+2</f>
        <v>39946</v>
      </c>
    </row>
    <row r="413" spans="1:19" x14ac:dyDescent="0.15">
      <c r="A413" s="1">
        <v>33445</v>
      </c>
      <c r="B413" s="6">
        <f>DATE(2012,12,31)-151</f>
        <v>41123</v>
      </c>
      <c r="C413" s="2" t="s">
        <v>916</v>
      </c>
      <c r="D413" s="1">
        <v>18</v>
      </c>
      <c r="E413" s="1">
        <v>1776.96</v>
      </c>
      <c r="F413" s="1">
        <v>7.0000000000000007E-2</v>
      </c>
      <c r="G413" s="2" t="s">
        <v>562</v>
      </c>
      <c r="H413" s="10">
        <v>-197.06</v>
      </c>
      <c r="I413" s="7">
        <v>100.98</v>
      </c>
      <c r="J413" s="7">
        <v>35.840000000000003</v>
      </c>
      <c r="K413" s="2" t="s">
        <v>806</v>
      </c>
      <c r="L413" s="16" t="s">
        <v>919</v>
      </c>
      <c r="M413" s="4" t="s">
        <v>563</v>
      </c>
      <c r="N413" s="2" t="s">
        <v>565</v>
      </c>
      <c r="O413" s="2" t="s">
        <v>570</v>
      </c>
      <c r="P413" s="2" t="s">
        <v>581</v>
      </c>
      <c r="Q413" s="1" t="s">
        <v>449</v>
      </c>
      <c r="R413" s="2" t="s">
        <v>588</v>
      </c>
      <c r="S413" s="8">
        <f>B413+5</f>
        <v>41128</v>
      </c>
    </row>
    <row r="414" spans="1:19" x14ac:dyDescent="0.15">
      <c r="A414" s="1">
        <v>33445</v>
      </c>
      <c r="B414" s="6">
        <f>DATE(2012,12,31)-151</f>
        <v>41123</v>
      </c>
      <c r="C414" s="2" t="s">
        <v>916</v>
      </c>
      <c r="D414" s="1">
        <v>49</v>
      </c>
      <c r="E414" s="1">
        <v>3642.14</v>
      </c>
      <c r="F414" s="1">
        <v>0.01</v>
      </c>
      <c r="G414" s="2" t="s">
        <v>562</v>
      </c>
      <c r="H414" s="10">
        <v>103.11</v>
      </c>
      <c r="I414" s="7">
        <v>70.98</v>
      </c>
      <c r="J414" s="7">
        <v>26.74</v>
      </c>
      <c r="K414" s="2" t="s">
        <v>806</v>
      </c>
      <c r="L414" s="16" t="s">
        <v>919</v>
      </c>
      <c r="M414" s="4" t="s">
        <v>563</v>
      </c>
      <c r="N414" s="2" t="s">
        <v>565</v>
      </c>
      <c r="O414" s="2" t="s">
        <v>570</v>
      </c>
      <c r="P414" s="2" t="s">
        <v>581</v>
      </c>
      <c r="Q414" s="1" t="s">
        <v>259</v>
      </c>
      <c r="R414" s="2" t="s">
        <v>588</v>
      </c>
      <c r="S414" s="8">
        <f>B414+5</f>
        <v>41128</v>
      </c>
    </row>
    <row r="415" spans="1:19" x14ac:dyDescent="0.15">
      <c r="A415" s="1">
        <v>33445</v>
      </c>
      <c r="B415" s="6">
        <f>DATE(2012,12,31)-151</f>
        <v>41123</v>
      </c>
      <c r="C415" s="2" t="s">
        <v>916</v>
      </c>
      <c r="D415" s="1">
        <v>16</v>
      </c>
      <c r="E415" s="1">
        <v>2982.5</v>
      </c>
      <c r="F415" s="1">
        <v>0.05</v>
      </c>
      <c r="G415" s="2" t="s">
        <v>560</v>
      </c>
      <c r="H415" s="10">
        <v>-589.58000000000004</v>
      </c>
      <c r="I415" s="7">
        <v>182.55</v>
      </c>
      <c r="J415" s="7">
        <v>69</v>
      </c>
      <c r="K415" s="2" t="s">
        <v>806</v>
      </c>
      <c r="L415" s="16" t="s">
        <v>919</v>
      </c>
      <c r="M415" s="4" t="s">
        <v>563</v>
      </c>
      <c r="N415" s="2" t="s">
        <v>565</v>
      </c>
      <c r="O415" s="2" t="s">
        <v>570</v>
      </c>
      <c r="P415" s="2" t="s">
        <v>578</v>
      </c>
      <c r="Q415" s="1" t="s">
        <v>173</v>
      </c>
      <c r="R415" s="2" t="s">
        <v>590</v>
      </c>
      <c r="S415" s="8">
        <f>B415+2</f>
        <v>41125</v>
      </c>
    </row>
    <row r="416" spans="1:19" x14ac:dyDescent="0.15">
      <c r="A416" s="1">
        <v>33604</v>
      </c>
      <c r="B416" s="6">
        <f>DATE(2012,12,31)-501</f>
        <v>40773</v>
      </c>
      <c r="C416" s="2" t="s">
        <v>913</v>
      </c>
      <c r="D416" s="1">
        <v>10</v>
      </c>
      <c r="E416" s="1">
        <v>59.62</v>
      </c>
      <c r="F416" s="1">
        <v>0.04</v>
      </c>
      <c r="G416" s="2" t="s">
        <v>560</v>
      </c>
      <c r="H416" s="10">
        <v>-56.304000000000002</v>
      </c>
      <c r="I416" s="7">
        <v>5.4</v>
      </c>
      <c r="J416" s="7">
        <v>7.78</v>
      </c>
      <c r="K416" s="2" t="s">
        <v>804</v>
      </c>
      <c r="L416" s="16" t="s">
        <v>919</v>
      </c>
      <c r="M416" s="4" t="s">
        <v>563</v>
      </c>
      <c r="N416" s="2" t="s">
        <v>567</v>
      </c>
      <c r="O416" s="2" t="s">
        <v>568</v>
      </c>
      <c r="P416" s="2" t="s">
        <v>88</v>
      </c>
      <c r="Q416" s="1" t="s">
        <v>419</v>
      </c>
      <c r="R416" s="2" t="s">
        <v>585</v>
      </c>
      <c r="S416" s="8">
        <f>B416+2</f>
        <v>40775</v>
      </c>
    </row>
    <row r="417" spans="1:19" x14ac:dyDescent="0.15">
      <c r="A417" s="1">
        <v>33696</v>
      </c>
      <c r="B417" s="6">
        <f>DATE(2012,12,31)-1334</f>
        <v>39940</v>
      </c>
      <c r="C417" s="2" t="s">
        <v>913</v>
      </c>
      <c r="D417" s="1">
        <v>2</v>
      </c>
      <c r="E417" s="1">
        <v>57.73</v>
      </c>
      <c r="F417" s="1">
        <v>0.06</v>
      </c>
      <c r="G417" s="2" t="s">
        <v>560</v>
      </c>
      <c r="H417" s="10">
        <v>-101.41</v>
      </c>
      <c r="I417" s="7">
        <v>27.48</v>
      </c>
      <c r="J417" s="7">
        <v>4</v>
      </c>
      <c r="K417" s="2" t="s">
        <v>824</v>
      </c>
      <c r="L417" s="16" t="s">
        <v>919</v>
      </c>
      <c r="M417" s="4" t="s">
        <v>563</v>
      </c>
      <c r="N417" s="2" t="s">
        <v>565</v>
      </c>
      <c r="O417" s="2" t="s">
        <v>569</v>
      </c>
      <c r="P417" s="2" t="s">
        <v>572</v>
      </c>
      <c r="Q417" s="1" t="s">
        <v>721</v>
      </c>
      <c r="R417" s="2" t="s">
        <v>585</v>
      </c>
      <c r="S417" s="8">
        <f>B417+2</f>
        <v>39942</v>
      </c>
    </row>
    <row r="418" spans="1:19" x14ac:dyDescent="0.15">
      <c r="A418" s="1">
        <v>33702</v>
      </c>
      <c r="B418" s="6">
        <f>DATE(2012,12,31)-120</f>
        <v>41154</v>
      </c>
      <c r="C418" s="2" t="s">
        <v>915</v>
      </c>
      <c r="D418" s="1">
        <v>14</v>
      </c>
      <c r="E418" s="1">
        <v>56.26</v>
      </c>
      <c r="F418" s="1">
        <v>0</v>
      </c>
      <c r="G418" s="2" t="s">
        <v>561</v>
      </c>
      <c r="H418" s="10">
        <v>28.11</v>
      </c>
      <c r="I418" s="7">
        <v>2.89</v>
      </c>
      <c r="J418" s="7">
        <v>0.5</v>
      </c>
      <c r="K418" s="2" t="s">
        <v>868</v>
      </c>
      <c r="L418" s="16" t="s">
        <v>919</v>
      </c>
      <c r="M418" s="4" t="s">
        <v>563</v>
      </c>
      <c r="N418" s="2" t="s">
        <v>567</v>
      </c>
      <c r="O418" s="2" t="s">
        <v>568</v>
      </c>
      <c r="P418" s="2" t="s">
        <v>582</v>
      </c>
      <c r="Q418" s="1" t="s">
        <v>321</v>
      </c>
      <c r="R418" s="2" t="s">
        <v>585</v>
      </c>
      <c r="S418" s="8">
        <f>B418+1</f>
        <v>41155</v>
      </c>
    </row>
    <row r="419" spans="1:19" x14ac:dyDescent="0.15">
      <c r="A419" s="1">
        <v>33923</v>
      </c>
      <c r="B419" s="6">
        <f>DATE(2012,12,31)-1454</f>
        <v>39820</v>
      </c>
      <c r="C419" s="2" t="s">
        <v>916</v>
      </c>
      <c r="D419" s="1">
        <v>34</v>
      </c>
      <c r="E419" s="1">
        <v>1961.7914999999998</v>
      </c>
      <c r="F419" s="1">
        <v>0.05</v>
      </c>
      <c r="G419" s="2" t="s">
        <v>560</v>
      </c>
      <c r="H419" s="10">
        <v>425.75400000000002</v>
      </c>
      <c r="I419" s="7">
        <v>65.989999999999995</v>
      </c>
      <c r="J419" s="7">
        <v>5.99</v>
      </c>
      <c r="K419" s="2" t="s">
        <v>811</v>
      </c>
      <c r="L419" s="16" t="s">
        <v>919</v>
      </c>
      <c r="M419" s="4" t="s">
        <v>563</v>
      </c>
      <c r="N419" s="2" t="s">
        <v>565</v>
      </c>
      <c r="O419" s="2" t="s">
        <v>569</v>
      </c>
      <c r="P419" s="2" t="s">
        <v>87</v>
      </c>
      <c r="Q419" s="1" t="s">
        <v>176</v>
      </c>
      <c r="R419" s="2" t="s">
        <v>585</v>
      </c>
      <c r="S419" s="8">
        <f>B419+4</f>
        <v>39824</v>
      </c>
    </row>
    <row r="420" spans="1:19" x14ac:dyDescent="0.15">
      <c r="A420" s="1">
        <v>33924</v>
      </c>
      <c r="B420" s="6">
        <f>DATE(2012,12,31)-74</f>
        <v>41200</v>
      </c>
      <c r="C420" s="2" t="s">
        <v>915</v>
      </c>
      <c r="D420" s="1">
        <v>12</v>
      </c>
      <c r="E420" s="1">
        <v>6168.07</v>
      </c>
      <c r="F420" s="1">
        <v>0.05</v>
      </c>
      <c r="G420" s="2" t="s">
        <v>562</v>
      </c>
      <c r="H420" s="10">
        <v>1542</v>
      </c>
      <c r="I420" s="7">
        <v>500.98</v>
      </c>
      <c r="J420" s="7">
        <v>28.14</v>
      </c>
      <c r="K420" s="2" t="s">
        <v>765</v>
      </c>
      <c r="L420" s="16" t="s">
        <v>919</v>
      </c>
      <c r="M420" s="4" t="s">
        <v>563</v>
      </c>
      <c r="N420" s="2" t="s">
        <v>566</v>
      </c>
      <c r="O420" s="2" t="s">
        <v>569</v>
      </c>
      <c r="P420" s="2" t="s">
        <v>583</v>
      </c>
      <c r="Q420" s="1" t="s">
        <v>31</v>
      </c>
      <c r="R420" s="2" t="s">
        <v>586</v>
      </c>
      <c r="S420" s="8">
        <f>B420+2</f>
        <v>41202</v>
      </c>
    </row>
    <row r="421" spans="1:19" x14ac:dyDescent="0.15">
      <c r="A421" s="1">
        <v>33987</v>
      </c>
      <c r="B421" s="6">
        <f>DATE(2012,12,31)-433</f>
        <v>40841</v>
      </c>
      <c r="C421" s="2" t="s">
        <v>913</v>
      </c>
      <c r="D421" s="1">
        <v>27</v>
      </c>
      <c r="E421" s="1">
        <v>1521.1344999999999</v>
      </c>
      <c r="F421" s="1">
        <v>7.0000000000000007E-2</v>
      </c>
      <c r="G421" s="2" t="s">
        <v>560</v>
      </c>
      <c r="H421" s="10">
        <v>270.60300000000001</v>
      </c>
      <c r="I421" s="7">
        <v>65.989999999999995</v>
      </c>
      <c r="J421" s="7">
        <v>3.99</v>
      </c>
      <c r="K421" s="2" t="s">
        <v>833</v>
      </c>
      <c r="L421" s="16" t="s">
        <v>919</v>
      </c>
      <c r="M421" s="4" t="s">
        <v>563</v>
      </c>
      <c r="N421" s="2" t="s">
        <v>565</v>
      </c>
      <c r="O421" s="2" t="s">
        <v>569</v>
      </c>
      <c r="P421" s="2" t="s">
        <v>87</v>
      </c>
      <c r="Q421" s="1" t="s">
        <v>168</v>
      </c>
      <c r="R421" s="2" t="s">
        <v>585</v>
      </c>
      <c r="S421" s="8">
        <f>B421+1</f>
        <v>40842</v>
      </c>
    </row>
    <row r="422" spans="1:19" x14ac:dyDescent="0.15">
      <c r="A422" s="1">
        <v>34243</v>
      </c>
      <c r="B422" s="6">
        <f>DATE(2012,12,31)-689</f>
        <v>40585</v>
      </c>
      <c r="C422" s="2" t="s">
        <v>913</v>
      </c>
      <c r="D422" s="1">
        <v>10</v>
      </c>
      <c r="E422" s="1">
        <v>89.04</v>
      </c>
      <c r="F422" s="1">
        <v>0.08</v>
      </c>
      <c r="G422" s="2" t="s">
        <v>560</v>
      </c>
      <c r="H422" s="10">
        <v>-16.489999999999998</v>
      </c>
      <c r="I422" s="7">
        <v>8.75</v>
      </c>
      <c r="J422" s="7">
        <v>8.5399999999999991</v>
      </c>
      <c r="K422" s="2" t="s">
        <v>861</v>
      </c>
      <c r="L422" s="16" t="s">
        <v>919</v>
      </c>
      <c r="M422" s="4" t="s">
        <v>563</v>
      </c>
      <c r="N422" s="2" t="s">
        <v>564</v>
      </c>
      <c r="O422" s="2" t="s">
        <v>570</v>
      </c>
      <c r="P422" s="2" t="s">
        <v>579</v>
      </c>
      <c r="Q422" s="1" t="s">
        <v>35</v>
      </c>
      <c r="R422" s="2" t="s">
        <v>587</v>
      </c>
      <c r="S422" s="8">
        <f>B422+2</f>
        <v>40587</v>
      </c>
    </row>
    <row r="423" spans="1:19" x14ac:dyDescent="0.15">
      <c r="A423" s="1">
        <v>34243</v>
      </c>
      <c r="B423" s="6">
        <f>DATE(2012,12,31)-689</f>
        <v>40585</v>
      </c>
      <c r="C423" s="2" t="s">
        <v>913</v>
      </c>
      <c r="D423" s="1">
        <v>40</v>
      </c>
      <c r="E423" s="1">
        <v>297.33999999999997</v>
      </c>
      <c r="F423" s="1">
        <v>0.04</v>
      </c>
      <c r="G423" s="2" t="s">
        <v>561</v>
      </c>
      <c r="H423" s="10">
        <v>-270.95999999999998</v>
      </c>
      <c r="I423" s="7">
        <v>7.28</v>
      </c>
      <c r="J423" s="7">
        <v>11.15</v>
      </c>
      <c r="K423" s="2" t="s">
        <v>861</v>
      </c>
      <c r="L423" s="16" t="s">
        <v>919</v>
      </c>
      <c r="M423" s="4" t="s">
        <v>563</v>
      </c>
      <c r="N423" s="2" t="s">
        <v>564</v>
      </c>
      <c r="O423" s="2" t="s">
        <v>568</v>
      </c>
      <c r="P423" s="2" t="s">
        <v>573</v>
      </c>
      <c r="Q423" s="1" t="s">
        <v>101</v>
      </c>
      <c r="R423" s="2" t="s">
        <v>585</v>
      </c>
      <c r="S423" s="8">
        <f>B423+1</f>
        <v>40586</v>
      </c>
    </row>
    <row r="424" spans="1:19" x14ac:dyDescent="0.15">
      <c r="A424" s="1">
        <v>34243</v>
      </c>
      <c r="B424" s="6">
        <f>DATE(2012,12,31)-689</f>
        <v>40585</v>
      </c>
      <c r="C424" s="2" t="s">
        <v>913</v>
      </c>
      <c r="D424" s="1">
        <v>35</v>
      </c>
      <c r="E424" s="1">
        <v>1264.1300000000001</v>
      </c>
      <c r="F424" s="1">
        <v>0.02</v>
      </c>
      <c r="G424" s="2" t="s">
        <v>560</v>
      </c>
      <c r="H424" s="10">
        <v>-1087.3599999999999</v>
      </c>
      <c r="I424" s="7">
        <v>35.479999999999997</v>
      </c>
      <c r="J424" s="7">
        <v>35</v>
      </c>
      <c r="K424" s="2" t="s">
        <v>861</v>
      </c>
      <c r="L424" s="16" t="s">
        <v>919</v>
      </c>
      <c r="M424" s="4" t="s">
        <v>563</v>
      </c>
      <c r="N424" s="2" t="s">
        <v>564</v>
      </c>
      <c r="O424" s="2" t="s">
        <v>568</v>
      </c>
      <c r="P424" s="2" t="s">
        <v>577</v>
      </c>
      <c r="Q424" s="1" t="s">
        <v>196</v>
      </c>
      <c r="R424" s="2" t="s">
        <v>590</v>
      </c>
      <c r="S424" s="8">
        <f>B424+2</f>
        <v>40587</v>
      </c>
    </row>
    <row r="425" spans="1:19" x14ac:dyDescent="0.15">
      <c r="A425" s="1">
        <v>34279</v>
      </c>
      <c r="B425" s="6">
        <f>DATE(2012,12,31)-278</f>
        <v>40996</v>
      </c>
      <c r="C425" s="2" t="s">
        <v>915</v>
      </c>
      <c r="D425" s="1">
        <v>3</v>
      </c>
      <c r="E425" s="1">
        <v>840.55200000000013</v>
      </c>
      <c r="F425" s="1">
        <v>0.1</v>
      </c>
      <c r="G425" s="2" t="s">
        <v>562</v>
      </c>
      <c r="H425" s="10">
        <v>7.5500000000000114</v>
      </c>
      <c r="I425" s="7">
        <v>349.45</v>
      </c>
      <c r="J425" s="7">
        <v>60</v>
      </c>
      <c r="K425" s="2" t="s">
        <v>793</v>
      </c>
      <c r="L425" s="16" t="s">
        <v>919</v>
      </c>
      <c r="M425" s="4" t="s">
        <v>563</v>
      </c>
      <c r="N425" s="2" t="s">
        <v>566</v>
      </c>
      <c r="O425" s="2" t="s">
        <v>570</v>
      </c>
      <c r="P425" s="2" t="s">
        <v>578</v>
      </c>
      <c r="Q425" s="1" t="s">
        <v>729</v>
      </c>
      <c r="R425" s="2" t="s">
        <v>586</v>
      </c>
      <c r="S425" s="8">
        <f>B425+2</f>
        <v>40998</v>
      </c>
    </row>
    <row r="426" spans="1:19" x14ac:dyDescent="0.15">
      <c r="A426" s="1">
        <v>34406</v>
      </c>
      <c r="B426" s="6">
        <f>DATE(2012,12,31)-94</f>
        <v>41180</v>
      </c>
      <c r="C426" s="2" t="s">
        <v>914</v>
      </c>
      <c r="D426" s="1">
        <v>29</v>
      </c>
      <c r="E426" s="1">
        <v>142.59</v>
      </c>
      <c r="F426" s="1">
        <v>0.02</v>
      </c>
      <c r="G426" s="2" t="s">
        <v>560</v>
      </c>
      <c r="H426" s="10">
        <v>-3.23</v>
      </c>
      <c r="I426" s="7">
        <v>4.71</v>
      </c>
      <c r="J426" s="7">
        <v>0.7</v>
      </c>
      <c r="K426" s="2" t="s">
        <v>902</v>
      </c>
      <c r="L426" s="16" t="s">
        <v>919</v>
      </c>
      <c r="M426" s="4" t="s">
        <v>563</v>
      </c>
      <c r="N426" s="2" t="s">
        <v>564</v>
      </c>
      <c r="O426" s="2" t="s">
        <v>568</v>
      </c>
      <c r="P426" s="2" t="s">
        <v>580</v>
      </c>
      <c r="Q426" s="1" t="s">
        <v>105</v>
      </c>
      <c r="R426" s="2" t="s">
        <v>584</v>
      </c>
      <c r="S426" s="8">
        <f>B426+1</f>
        <v>41181</v>
      </c>
    </row>
    <row r="427" spans="1:19" x14ac:dyDescent="0.15">
      <c r="A427" s="1">
        <v>34597</v>
      </c>
      <c r="B427" s="6">
        <f>DATE(2012,12,31)-746</f>
        <v>40528</v>
      </c>
      <c r="C427" s="2" t="s">
        <v>914</v>
      </c>
      <c r="D427" s="1">
        <v>8</v>
      </c>
      <c r="E427" s="1">
        <v>849.33699999999999</v>
      </c>
      <c r="F427" s="1">
        <v>7.0000000000000007E-2</v>
      </c>
      <c r="G427" s="2" t="s">
        <v>561</v>
      </c>
      <c r="H427" s="10">
        <v>-258.85199999999998</v>
      </c>
      <c r="I427" s="7">
        <v>125.99</v>
      </c>
      <c r="J427" s="7">
        <v>2.5</v>
      </c>
      <c r="K427" s="2" t="s">
        <v>838</v>
      </c>
      <c r="L427" s="16" t="s">
        <v>919</v>
      </c>
      <c r="M427" s="4" t="s">
        <v>563</v>
      </c>
      <c r="N427" s="2" t="s">
        <v>564</v>
      </c>
      <c r="O427" s="2" t="s">
        <v>569</v>
      </c>
      <c r="P427" s="2" t="s">
        <v>87</v>
      </c>
      <c r="Q427" s="1" t="s">
        <v>210</v>
      </c>
      <c r="R427" s="2" t="s">
        <v>585</v>
      </c>
      <c r="S427" s="8">
        <f>B427+2</f>
        <v>40530</v>
      </c>
    </row>
    <row r="428" spans="1:19" x14ac:dyDescent="0.15">
      <c r="A428" s="1">
        <v>34980</v>
      </c>
      <c r="B428" s="6">
        <f>DATE(2012,12,31)-882</f>
        <v>40392</v>
      </c>
      <c r="C428" s="2" t="s">
        <v>915</v>
      </c>
      <c r="D428" s="1">
        <v>7</v>
      </c>
      <c r="E428" s="1">
        <v>140.77000000000001</v>
      </c>
      <c r="F428" s="1">
        <v>0.01</v>
      </c>
      <c r="G428" s="2" t="s">
        <v>560</v>
      </c>
      <c r="H428" s="10">
        <v>100.77</v>
      </c>
      <c r="I428" s="7">
        <v>18.649999999999999</v>
      </c>
      <c r="J428" s="7">
        <v>3.77</v>
      </c>
      <c r="K428" s="2" t="s">
        <v>848</v>
      </c>
      <c r="L428" s="16" t="s">
        <v>919</v>
      </c>
      <c r="M428" s="4" t="s">
        <v>563</v>
      </c>
      <c r="N428" s="2" t="s">
        <v>567</v>
      </c>
      <c r="O428" s="2" t="s">
        <v>570</v>
      </c>
      <c r="P428" s="2" t="s">
        <v>579</v>
      </c>
      <c r="Q428" s="1" t="s">
        <v>112</v>
      </c>
      <c r="R428" s="2" t="s">
        <v>587</v>
      </c>
      <c r="S428" s="8">
        <f>B428+2</f>
        <v>40394</v>
      </c>
    </row>
    <row r="429" spans="1:19" x14ac:dyDescent="0.15">
      <c r="A429" s="1">
        <v>34980</v>
      </c>
      <c r="B429" s="6">
        <f>DATE(2012,12,31)-882</f>
        <v>40392</v>
      </c>
      <c r="C429" s="2" t="s">
        <v>915</v>
      </c>
      <c r="D429" s="1">
        <v>25</v>
      </c>
      <c r="E429" s="1">
        <v>848.19</v>
      </c>
      <c r="F429" s="1">
        <v>0.06</v>
      </c>
      <c r="G429" s="2" t="s">
        <v>561</v>
      </c>
      <c r="H429" s="10">
        <v>120.02</v>
      </c>
      <c r="I429" s="7">
        <v>34.76</v>
      </c>
      <c r="J429" s="7">
        <v>5.49</v>
      </c>
      <c r="K429" s="2" t="s">
        <v>848</v>
      </c>
      <c r="L429" s="16" t="s">
        <v>919</v>
      </c>
      <c r="M429" s="4" t="s">
        <v>563</v>
      </c>
      <c r="N429" s="2" t="s">
        <v>567</v>
      </c>
      <c r="O429" s="2" t="s">
        <v>568</v>
      </c>
      <c r="P429" s="2" t="s">
        <v>577</v>
      </c>
      <c r="Q429" s="1" t="s">
        <v>110</v>
      </c>
      <c r="R429" s="2" t="s">
        <v>585</v>
      </c>
      <c r="S429" s="8">
        <f>B429+2</f>
        <v>40394</v>
      </c>
    </row>
    <row r="430" spans="1:19" x14ac:dyDescent="0.15">
      <c r="A430" s="1">
        <v>34980</v>
      </c>
      <c r="B430" s="6">
        <f>DATE(2012,12,31)-882</f>
        <v>40392</v>
      </c>
      <c r="C430" s="2" t="s">
        <v>915</v>
      </c>
      <c r="D430" s="1">
        <v>12</v>
      </c>
      <c r="E430" s="1">
        <v>562.15</v>
      </c>
      <c r="F430" s="1">
        <v>0.01</v>
      </c>
      <c r="G430" s="2" t="s">
        <v>560</v>
      </c>
      <c r="H430" s="10">
        <v>148.34</v>
      </c>
      <c r="I430" s="7">
        <v>46.89</v>
      </c>
      <c r="J430" s="7">
        <v>5.0999999999999996</v>
      </c>
      <c r="K430" s="2" t="s">
        <v>848</v>
      </c>
      <c r="L430" s="16" t="s">
        <v>919</v>
      </c>
      <c r="M430" s="4" t="s">
        <v>563</v>
      </c>
      <c r="N430" s="2" t="s">
        <v>567</v>
      </c>
      <c r="O430" s="2" t="s">
        <v>568</v>
      </c>
      <c r="P430" s="2" t="s">
        <v>576</v>
      </c>
      <c r="Q430" s="1" t="s">
        <v>72</v>
      </c>
      <c r="R430" s="2" t="s">
        <v>589</v>
      </c>
      <c r="S430" s="8">
        <f>B430+2</f>
        <v>40394</v>
      </c>
    </row>
    <row r="431" spans="1:19" x14ac:dyDescent="0.15">
      <c r="A431" s="1">
        <v>35361</v>
      </c>
      <c r="B431" s="6">
        <f>DATE(2012,12,31)-1365</f>
        <v>39909</v>
      </c>
      <c r="C431" s="2" t="s">
        <v>914</v>
      </c>
      <c r="D431" s="1">
        <v>40</v>
      </c>
      <c r="E431" s="1">
        <v>746.93</v>
      </c>
      <c r="F431" s="1">
        <v>0.09</v>
      </c>
      <c r="G431" s="2" t="s">
        <v>561</v>
      </c>
      <c r="H431" s="10">
        <v>67.03</v>
      </c>
      <c r="I431" s="7">
        <v>18.97</v>
      </c>
      <c r="J431" s="7">
        <v>9.0299999999999994</v>
      </c>
      <c r="K431" s="2" t="s">
        <v>831</v>
      </c>
      <c r="L431" s="16" t="s">
        <v>919</v>
      </c>
      <c r="M431" s="4" t="s">
        <v>563</v>
      </c>
      <c r="N431" s="2" t="s">
        <v>564</v>
      </c>
      <c r="O431" s="2" t="s">
        <v>568</v>
      </c>
      <c r="P431" s="2" t="s">
        <v>573</v>
      </c>
      <c r="Q431" s="1" t="s">
        <v>391</v>
      </c>
      <c r="R431" s="2" t="s">
        <v>585</v>
      </c>
      <c r="S431" s="8">
        <f>B431+1</f>
        <v>39910</v>
      </c>
    </row>
    <row r="432" spans="1:19" x14ac:dyDescent="0.15">
      <c r="A432" s="1">
        <v>35361</v>
      </c>
      <c r="B432" s="6">
        <f>DATE(2012,12,31)-1365</f>
        <v>39909</v>
      </c>
      <c r="C432" s="2" t="s">
        <v>914</v>
      </c>
      <c r="D432" s="1">
        <v>37</v>
      </c>
      <c r="E432" s="1">
        <v>313.39999999999998</v>
      </c>
      <c r="F432" s="1">
        <v>0</v>
      </c>
      <c r="G432" s="2" t="s">
        <v>560</v>
      </c>
      <c r="H432" s="10">
        <v>-5.05</v>
      </c>
      <c r="I432" s="7">
        <v>8.34</v>
      </c>
      <c r="J432" s="7">
        <v>4.82</v>
      </c>
      <c r="K432" s="2" t="s">
        <v>831</v>
      </c>
      <c r="L432" s="16" t="s">
        <v>919</v>
      </c>
      <c r="M432" s="4" t="s">
        <v>563</v>
      </c>
      <c r="N432" s="2" t="s">
        <v>564</v>
      </c>
      <c r="O432" s="2" t="s">
        <v>568</v>
      </c>
      <c r="P432" s="2" t="s">
        <v>573</v>
      </c>
      <c r="Q432" s="1" t="s">
        <v>677</v>
      </c>
      <c r="R432" s="2" t="s">
        <v>585</v>
      </c>
      <c r="S432" s="8">
        <f>B432+1</f>
        <v>39910</v>
      </c>
    </row>
    <row r="433" spans="1:19" x14ac:dyDescent="0.15">
      <c r="A433" s="1">
        <v>35587</v>
      </c>
      <c r="B433" s="6">
        <f>DATE(2012,12,31)-417</f>
        <v>40857</v>
      </c>
      <c r="C433" s="2" t="s">
        <v>917</v>
      </c>
      <c r="D433" s="1">
        <v>43</v>
      </c>
      <c r="E433" s="1">
        <v>208.77</v>
      </c>
      <c r="F433" s="1">
        <v>0.03</v>
      </c>
      <c r="G433" s="2" t="s">
        <v>560</v>
      </c>
      <c r="H433" s="10">
        <v>-144.24</v>
      </c>
      <c r="I433" s="7">
        <v>4.82</v>
      </c>
      <c r="J433" s="7">
        <v>5.72</v>
      </c>
      <c r="K433" s="2" t="s">
        <v>854</v>
      </c>
      <c r="L433" s="16" t="s">
        <v>919</v>
      </c>
      <c r="M433" s="4" t="s">
        <v>563</v>
      </c>
      <c r="N433" s="2" t="s">
        <v>566</v>
      </c>
      <c r="O433" s="2" t="s">
        <v>570</v>
      </c>
      <c r="P433" s="2" t="s">
        <v>579</v>
      </c>
      <c r="Q433" s="1" t="s">
        <v>82</v>
      </c>
      <c r="R433" s="2" t="s">
        <v>587</v>
      </c>
      <c r="S433" s="8">
        <f>B433+1</f>
        <v>40858</v>
      </c>
    </row>
    <row r="434" spans="1:19" x14ac:dyDescent="0.15">
      <c r="A434" s="1">
        <v>35780</v>
      </c>
      <c r="B434" s="6">
        <f>DATE(2012,12,31)-714</f>
        <v>40560</v>
      </c>
      <c r="C434" s="2" t="s">
        <v>914</v>
      </c>
      <c r="D434" s="1">
        <v>6</v>
      </c>
      <c r="E434" s="1">
        <v>28.55</v>
      </c>
      <c r="F434" s="1">
        <v>0.01</v>
      </c>
      <c r="G434" s="2" t="s">
        <v>560</v>
      </c>
      <c r="H434" s="10">
        <v>-4.5</v>
      </c>
      <c r="I434" s="7">
        <v>4.28</v>
      </c>
      <c r="J434" s="7">
        <v>1.6</v>
      </c>
      <c r="K434" s="2" t="s">
        <v>775</v>
      </c>
      <c r="L434" s="16" t="s">
        <v>919</v>
      </c>
      <c r="M434" s="4" t="s">
        <v>563</v>
      </c>
      <c r="N434" s="2" t="s">
        <v>566</v>
      </c>
      <c r="O434" s="2" t="s">
        <v>568</v>
      </c>
      <c r="P434" s="2" t="s">
        <v>571</v>
      </c>
      <c r="Q434" s="1" t="s">
        <v>537</v>
      </c>
      <c r="R434" s="2" t="s">
        <v>584</v>
      </c>
      <c r="S434" s="8">
        <f>B434+2</f>
        <v>40562</v>
      </c>
    </row>
    <row r="435" spans="1:19" x14ac:dyDescent="0.15">
      <c r="A435" s="1">
        <v>35814</v>
      </c>
      <c r="B435" s="6">
        <f>DATE(2012,12,31)-279</f>
        <v>40995</v>
      </c>
      <c r="C435" s="2" t="s">
        <v>913</v>
      </c>
      <c r="D435" s="1">
        <v>11</v>
      </c>
      <c r="E435" s="1">
        <v>324.52</v>
      </c>
      <c r="F435" s="1">
        <v>0.08</v>
      </c>
      <c r="G435" s="2" t="s">
        <v>560</v>
      </c>
      <c r="H435" s="10">
        <v>154.02000000000001</v>
      </c>
      <c r="I435" s="7">
        <v>29.18</v>
      </c>
      <c r="J435" s="7">
        <v>8.5500000000000007</v>
      </c>
      <c r="K435" s="2" t="s">
        <v>842</v>
      </c>
      <c r="L435" s="16" t="s">
        <v>919</v>
      </c>
      <c r="M435" s="4" t="s">
        <v>563</v>
      </c>
      <c r="N435" s="2" t="s">
        <v>564</v>
      </c>
      <c r="O435" s="2" t="s">
        <v>570</v>
      </c>
      <c r="P435" s="2" t="s">
        <v>579</v>
      </c>
      <c r="Q435" s="1" t="s">
        <v>497</v>
      </c>
      <c r="R435" s="2" t="s">
        <v>585</v>
      </c>
      <c r="S435" s="8">
        <f>B435+1</f>
        <v>40996</v>
      </c>
    </row>
    <row r="436" spans="1:19" x14ac:dyDescent="0.15">
      <c r="A436" s="1">
        <v>35938</v>
      </c>
      <c r="B436" s="6">
        <f>DATE(2012,12,31)-44</f>
        <v>41230</v>
      </c>
      <c r="C436" s="2" t="s">
        <v>915</v>
      </c>
      <c r="D436" s="1">
        <v>6</v>
      </c>
      <c r="E436" s="1">
        <v>1770.7</v>
      </c>
      <c r="F436" s="1">
        <v>0.05</v>
      </c>
      <c r="G436" s="2" t="s">
        <v>562</v>
      </c>
      <c r="H436" s="10">
        <v>-448.25</v>
      </c>
      <c r="I436" s="7">
        <v>280.98</v>
      </c>
      <c r="J436" s="7">
        <v>57</v>
      </c>
      <c r="K436" s="2" t="s">
        <v>903</v>
      </c>
      <c r="L436" s="16" t="s">
        <v>919</v>
      </c>
      <c r="M436" s="4" t="s">
        <v>563</v>
      </c>
      <c r="N436" s="2" t="s">
        <v>567</v>
      </c>
      <c r="O436" s="2" t="s">
        <v>570</v>
      </c>
      <c r="P436" s="2" t="s">
        <v>574</v>
      </c>
      <c r="Q436" s="1" t="s">
        <v>28</v>
      </c>
      <c r="R436" s="2" t="s">
        <v>586</v>
      </c>
      <c r="S436" s="8">
        <f>B436+2</f>
        <v>41232</v>
      </c>
    </row>
    <row r="437" spans="1:19" x14ac:dyDescent="0.15">
      <c r="A437" s="1">
        <v>35938</v>
      </c>
      <c r="B437" s="6">
        <f>DATE(2012,12,31)-44</f>
        <v>41230</v>
      </c>
      <c r="C437" s="2" t="s">
        <v>915</v>
      </c>
      <c r="D437" s="1">
        <v>48</v>
      </c>
      <c r="E437" s="1">
        <v>628.33000000000004</v>
      </c>
      <c r="F437" s="1">
        <v>0.09</v>
      </c>
      <c r="G437" s="2" t="s">
        <v>560</v>
      </c>
      <c r="H437" s="10">
        <v>-226.62</v>
      </c>
      <c r="I437" s="7">
        <v>14.03</v>
      </c>
      <c r="J437" s="7">
        <v>9.3699999999999992</v>
      </c>
      <c r="K437" s="2" t="s">
        <v>903</v>
      </c>
      <c r="L437" s="16" t="s">
        <v>919</v>
      </c>
      <c r="M437" s="4" t="s">
        <v>563</v>
      </c>
      <c r="N437" s="2" t="s">
        <v>567</v>
      </c>
      <c r="O437" s="2" t="s">
        <v>568</v>
      </c>
      <c r="P437" s="2" t="s">
        <v>577</v>
      </c>
      <c r="Q437" s="1" t="s">
        <v>215</v>
      </c>
      <c r="R437" s="2" t="s">
        <v>585</v>
      </c>
      <c r="S437" s="8">
        <f>B437+1</f>
        <v>41231</v>
      </c>
    </row>
    <row r="438" spans="1:19" x14ac:dyDescent="0.15">
      <c r="A438" s="1">
        <v>35968</v>
      </c>
      <c r="B438" s="6">
        <f>DATE(2012,12,31)-303</f>
        <v>40971</v>
      </c>
      <c r="C438" s="2" t="s">
        <v>915</v>
      </c>
      <c r="D438" s="1">
        <v>21</v>
      </c>
      <c r="E438" s="1">
        <v>141.19999999999999</v>
      </c>
      <c r="F438" s="1">
        <v>0.05</v>
      </c>
      <c r="G438" s="2" t="s">
        <v>560</v>
      </c>
      <c r="H438" s="10">
        <v>-74.43950000000001</v>
      </c>
      <c r="I438" s="7">
        <v>6.23</v>
      </c>
      <c r="J438" s="7">
        <v>6.97</v>
      </c>
      <c r="K438" s="2" t="s">
        <v>858</v>
      </c>
      <c r="L438" s="16" t="s">
        <v>919</v>
      </c>
      <c r="M438" s="4" t="s">
        <v>563</v>
      </c>
      <c r="N438" s="2" t="s">
        <v>567</v>
      </c>
      <c r="O438" s="2" t="s">
        <v>568</v>
      </c>
      <c r="P438" s="2" t="s">
        <v>88</v>
      </c>
      <c r="Q438" s="1" t="s">
        <v>27</v>
      </c>
      <c r="R438" s="2" t="s">
        <v>585</v>
      </c>
      <c r="S438" s="8">
        <f>B438+2</f>
        <v>40973</v>
      </c>
    </row>
    <row r="439" spans="1:19" x14ac:dyDescent="0.15">
      <c r="A439" s="1">
        <v>36033</v>
      </c>
      <c r="B439" s="6">
        <f>DATE(2012,12,31)-1108</f>
        <v>40166</v>
      </c>
      <c r="C439" s="2" t="s">
        <v>915</v>
      </c>
      <c r="D439" s="1">
        <v>15</v>
      </c>
      <c r="E439" s="1">
        <v>83.02</v>
      </c>
      <c r="F439" s="1">
        <v>0.06</v>
      </c>
      <c r="G439" s="2" t="s">
        <v>561</v>
      </c>
      <c r="H439" s="10">
        <v>-54.01</v>
      </c>
      <c r="I439" s="7">
        <v>4.9800000000000004</v>
      </c>
      <c r="J439" s="7">
        <v>4.62</v>
      </c>
      <c r="K439" s="2" t="s">
        <v>828</v>
      </c>
      <c r="L439" s="16" t="s">
        <v>919</v>
      </c>
      <c r="M439" s="4" t="s">
        <v>563</v>
      </c>
      <c r="N439" s="2" t="s">
        <v>565</v>
      </c>
      <c r="O439" s="2" t="s">
        <v>569</v>
      </c>
      <c r="P439" s="2" t="s">
        <v>572</v>
      </c>
      <c r="Q439" s="1" t="s">
        <v>418</v>
      </c>
      <c r="R439" s="2" t="s">
        <v>587</v>
      </c>
      <c r="S439" s="8">
        <f>B439+0</f>
        <v>40166</v>
      </c>
    </row>
    <row r="440" spans="1:19" x14ac:dyDescent="0.15">
      <c r="A440" s="1">
        <v>36067</v>
      </c>
      <c r="B440" s="6">
        <f>DATE(2012,12,31)-1276</f>
        <v>39998</v>
      </c>
      <c r="C440" s="2" t="s">
        <v>913</v>
      </c>
      <c r="D440" s="1">
        <v>37</v>
      </c>
      <c r="E440" s="1">
        <v>6176.29</v>
      </c>
      <c r="F440" s="1">
        <v>0.04</v>
      </c>
      <c r="G440" s="2" t="s">
        <v>561</v>
      </c>
      <c r="H440" s="10">
        <v>1499.94</v>
      </c>
      <c r="I440" s="7">
        <v>165.2</v>
      </c>
      <c r="J440" s="7">
        <v>19.989999999999998</v>
      </c>
      <c r="K440" s="2" t="s">
        <v>761</v>
      </c>
      <c r="L440" s="16" t="s">
        <v>919</v>
      </c>
      <c r="M440" s="4" t="s">
        <v>563</v>
      </c>
      <c r="N440" s="2" t="s">
        <v>565</v>
      </c>
      <c r="O440" s="2" t="s">
        <v>568</v>
      </c>
      <c r="P440" s="2" t="s">
        <v>577</v>
      </c>
      <c r="Q440" s="1" t="s">
        <v>542</v>
      </c>
      <c r="R440" s="2" t="s">
        <v>585</v>
      </c>
      <c r="S440" s="8">
        <f>B440+2</f>
        <v>40000</v>
      </c>
    </row>
    <row r="441" spans="1:19" x14ac:dyDescent="0.15">
      <c r="A441" s="1">
        <v>36131</v>
      </c>
      <c r="B441" s="6">
        <f>DATE(2012,12,31)-1324</f>
        <v>39950</v>
      </c>
      <c r="C441" s="2" t="s">
        <v>913</v>
      </c>
      <c r="D441" s="1">
        <v>26</v>
      </c>
      <c r="E441" s="1">
        <v>493.43</v>
      </c>
      <c r="F441" s="1">
        <v>7.0000000000000007E-2</v>
      </c>
      <c r="G441" s="2" t="s">
        <v>560</v>
      </c>
      <c r="H441" s="10">
        <v>120.18</v>
      </c>
      <c r="I441" s="7">
        <v>19.84</v>
      </c>
      <c r="J441" s="7">
        <v>4.0999999999999996</v>
      </c>
      <c r="K441" s="2" t="s">
        <v>821</v>
      </c>
      <c r="L441" s="16" t="s">
        <v>919</v>
      </c>
      <c r="M441" s="4" t="s">
        <v>563</v>
      </c>
      <c r="N441" s="2" t="s">
        <v>564</v>
      </c>
      <c r="O441" s="2" t="s">
        <v>568</v>
      </c>
      <c r="P441" s="2" t="s">
        <v>571</v>
      </c>
      <c r="Q441" s="1"/>
      <c r="R441" s="2" t="s">
        <v>584</v>
      </c>
      <c r="S441" s="8">
        <f>B441+1</f>
        <v>39951</v>
      </c>
    </row>
    <row r="442" spans="1:19" x14ac:dyDescent="0.15">
      <c r="A442" s="1">
        <v>36160</v>
      </c>
      <c r="B442" s="6">
        <f>DATE(2012,12,31)-39</f>
        <v>41235</v>
      </c>
      <c r="C442" s="2" t="s">
        <v>916</v>
      </c>
      <c r="D442" s="1">
        <v>12</v>
      </c>
      <c r="E442" s="1">
        <v>2218.8910000000001</v>
      </c>
      <c r="F442" s="1">
        <v>0</v>
      </c>
      <c r="G442" s="2" t="s">
        <v>561</v>
      </c>
      <c r="H442" s="10">
        <v>79.542000000000002</v>
      </c>
      <c r="I442" s="7">
        <v>205.99</v>
      </c>
      <c r="J442" s="7">
        <v>8.99</v>
      </c>
      <c r="K442" s="2" t="s">
        <v>802</v>
      </c>
      <c r="L442" s="16" t="s">
        <v>919</v>
      </c>
      <c r="M442" s="4" t="s">
        <v>563</v>
      </c>
      <c r="N442" s="2" t="s">
        <v>564</v>
      </c>
      <c r="O442" s="2" t="s">
        <v>569</v>
      </c>
      <c r="P442" s="2" t="s">
        <v>87</v>
      </c>
      <c r="Q442" s="1"/>
      <c r="R442" s="2" t="s">
        <v>585</v>
      </c>
      <c r="S442" s="8">
        <f>B442+7</f>
        <v>41242</v>
      </c>
    </row>
    <row r="443" spans="1:19" x14ac:dyDescent="0.15">
      <c r="A443" s="1">
        <v>36196</v>
      </c>
      <c r="B443" s="6">
        <f>DATE(2012,12,31)-513</f>
        <v>40761</v>
      </c>
      <c r="C443" s="2" t="s">
        <v>915</v>
      </c>
      <c r="D443" s="1">
        <v>7</v>
      </c>
      <c r="E443" s="1">
        <v>39.01</v>
      </c>
      <c r="F443" s="1">
        <v>7.0000000000000007E-2</v>
      </c>
      <c r="G443" s="2" t="s">
        <v>560</v>
      </c>
      <c r="H443" s="10">
        <v>-38.44</v>
      </c>
      <c r="I443" s="7">
        <v>4.9800000000000004</v>
      </c>
      <c r="J443" s="7">
        <v>4.32</v>
      </c>
      <c r="K443" s="2" t="s">
        <v>770</v>
      </c>
      <c r="L443" s="16" t="s">
        <v>919</v>
      </c>
      <c r="M443" s="4" t="s">
        <v>563</v>
      </c>
      <c r="N443" s="2" t="s">
        <v>566</v>
      </c>
      <c r="O443" s="2" t="s">
        <v>569</v>
      </c>
      <c r="P443" s="2" t="s">
        <v>572</v>
      </c>
      <c r="Q443" s="1"/>
      <c r="R443" s="2" t="s">
        <v>587</v>
      </c>
      <c r="S443" s="8">
        <f>B443+2</f>
        <v>40763</v>
      </c>
    </row>
    <row r="444" spans="1:19" x14ac:dyDescent="0.15">
      <c r="A444" s="1">
        <v>36356</v>
      </c>
      <c r="B444" s="6">
        <f>DATE(2012,12,31)-372</f>
        <v>40902</v>
      </c>
      <c r="C444" s="2" t="s">
        <v>914</v>
      </c>
      <c r="D444" s="1">
        <v>45</v>
      </c>
      <c r="E444" s="1">
        <v>4768.59</v>
      </c>
      <c r="F444" s="1">
        <v>0.01</v>
      </c>
      <c r="G444" s="2" t="s">
        <v>562</v>
      </c>
      <c r="H444" s="10">
        <v>-593.79999999999995</v>
      </c>
      <c r="I444" s="7">
        <v>100.98</v>
      </c>
      <c r="J444" s="7">
        <v>45</v>
      </c>
      <c r="K444" s="2" t="s">
        <v>770</v>
      </c>
      <c r="L444" s="16" t="s">
        <v>919</v>
      </c>
      <c r="M444" s="4" t="s">
        <v>563</v>
      </c>
      <c r="N444" s="2" t="s">
        <v>566</v>
      </c>
      <c r="O444" s="2" t="s">
        <v>570</v>
      </c>
      <c r="P444" s="2" t="s">
        <v>574</v>
      </c>
      <c r="Q444" s="1"/>
      <c r="R444" s="2" t="s">
        <v>586</v>
      </c>
      <c r="S444" s="8">
        <f>B444+2</f>
        <v>40904</v>
      </c>
    </row>
    <row r="445" spans="1:19" x14ac:dyDescent="0.15">
      <c r="A445" s="1">
        <v>36356</v>
      </c>
      <c r="B445" s="6">
        <f>DATE(2012,12,31)-372</f>
        <v>40902</v>
      </c>
      <c r="C445" s="2" t="s">
        <v>914</v>
      </c>
      <c r="D445" s="1">
        <v>33</v>
      </c>
      <c r="E445" s="1">
        <v>117.77</v>
      </c>
      <c r="F445" s="1">
        <v>0.08</v>
      </c>
      <c r="G445" s="2" t="s">
        <v>560</v>
      </c>
      <c r="H445" s="10">
        <v>47.98</v>
      </c>
      <c r="I445" s="7">
        <v>3.75</v>
      </c>
      <c r="J445" s="7">
        <v>0.5</v>
      </c>
      <c r="K445" s="2" t="s">
        <v>770</v>
      </c>
      <c r="L445" s="16" t="s">
        <v>919</v>
      </c>
      <c r="M445" s="4" t="s">
        <v>563</v>
      </c>
      <c r="N445" s="2" t="s">
        <v>566</v>
      </c>
      <c r="O445" s="2" t="s">
        <v>568</v>
      </c>
      <c r="P445" s="2" t="s">
        <v>582</v>
      </c>
      <c r="Q445" s="1"/>
      <c r="R445" s="2" t="s">
        <v>585</v>
      </c>
      <c r="S445" s="8">
        <f>B445+2</f>
        <v>40904</v>
      </c>
    </row>
    <row r="446" spans="1:19" x14ac:dyDescent="0.15">
      <c r="A446" s="1">
        <v>36647</v>
      </c>
      <c r="B446" s="6">
        <f>DATE(2012,12,31)-1280</f>
        <v>39994</v>
      </c>
      <c r="C446" s="2" t="s">
        <v>913</v>
      </c>
      <c r="D446" s="1">
        <v>21</v>
      </c>
      <c r="E446" s="1">
        <v>179.98</v>
      </c>
      <c r="F446" s="1">
        <v>0.01</v>
      </c>
      <c r="G446" s="2" t="s">
        <v>560</v>
      </c>
      <c r="H446" s="10">
        <v>38.700000000000003</v>
      </c>
      <c r="I446" s="7">
        <v>7.89</v>
      </c>
      <c r="J446" s="7">
        <v>2.82</v>
      </c>
      <c r="K446" s="2" t="s">
        <v>770</v>
      </c>
      <c r="L446" s="16" t="s">
        <v>919</v>
      </c>
      <c r="M446" s="4" t="s">
        <v>563</v>
      </c>
      <c r="N446" s="2" t="s">
        <v>566</v>
      </c>
      <c r="O446" s="2" t="s">
        <v>568</v>
      </c>
      <c r="P446" s="2" t="s">
        <v>580</v>
      </c>
      <c r="Q446" s="1"/>
      <c r="R446" s="2" t="s">
        <v>584</v>
      </c>
      <c r="S446" s="8">
        <f>B446+1</f>
        <v>39995</v>
      </c>
    </row>
    <row r="447" spans="1:19" x14ac:dyDescent="0.15">
      <c r="A447" s="1">
        <v>36647</v>
      </c>
      <c r="B447" s="6">
        <f>DATE(2012,12,31)-1280</f>
        <v>39994</v>
      </c>
      <c r="C447" s="2" t="s">
        <v>913</v>
      </c>
      <c r="D447" s="1">
        <v>16</v>
      </c>
      <c r="E447" s="1">
        <v>55.44</v>
      </c>
      <c r="F447" s="1">
        <v>0.09</v>
      </c>
      <c r="G447" s="2" t="s">
        <v>560</v>
      </c>
      <c r="H447" s="10">
        <v>-21.91</v>
      </c>
      <c r="I447" s="7">
        <v>3.68</v>
      </c>
      <c r="J447" s="7">
        <v>1.32</v>
      </c>
      <c r="K447" s="2" t="s">
        <v>770</v>
      </c>
      <c r="L447" s="16" t="s">
        <v>919</v>
      </c>
      <c r="M447" s="4" t="s">
        <v>563</v>
      </c>
      <c r="N447" s="2" t="s">
        <v>566</v>
      </c>
      <c r="O447" s="2" t="s">
        <v>568</v>
      </c>
      <c r="P447" s="2" t="s">
        <v>89</v>
      </c>
      <c r="Q447" s="1"/>
      <c r="R447" s="2" t="s">
        <v>584</v>
      </c>
      <c r="S447" s="8">
        <f>B447+1</f>
        <v>39995</v>
      </c>
    </row>
    <row r="448" spans="1:19" x14ac:dyDescent="0.15">
      <c r="A448" s="1">
        <v>36647</v>
      </c>
      <c r="B448" s="6">
        <f>DATE(2012,12,31)-1280</f>
        <v>39994</v>
      </c>
      <c r="C448" s="2" t="s">
        <v>913</v>
      </c>
      <c r="D448" s="1">
        <v>18</v>
      </c>
      <c r="E448" s="1">
        <v>174.62</v>
      </c>
      <c r="F448" s="1">
        <v>0.1</v>
      </c>
      <c r="G448" s="2" t="s">
        <v>560</v>
      </c>
      <c r="H448" s="10">
        <v>-119.77</v>
      </c>
      <c r="I448" s="7">
        <v>9.7100000000000009</v>
      </c>
      <c r="J448" s="7">
        <v>9.4499999999999993</v>
      </c>
      <c r="K448" s="2" t="s">
        <v>770</v>
      </c>
      <c r="L448" s="16" t="s">
        <v>919</v>
      </c>
      <c r="M448" s="4" t="s">
        <v>563</v>
      </c>
      <c r="N448" s="2" t="s">
        <v>566</v>
      </c>
      <c r="O448" s="2" t="s">
        <v>568</v>
      </c>
      <c r="P448" s="2" t="s">
        <v>577</v>
      </c>
      <c r="Q448" s="1"/>
      <c r="R448" s="2" t="s">
        <v>585</v>
      </c>
      <c r="S448" s="8">
        <f>B448+3</f>
        <v>39997</v>
      </c>
    </row>
    <row r="449" spans="1:19" x14ac:dyDescent="0.15">
      <c r="A449" s="1">
        <v>36737</v>
      </c>
      <c r="B449" s="6">
        <f>DATE(2012,12,31)-1022</f>
        <v>40252</v>
      </c>
      <c r="C449" s="2" t="s">
        <v>915</v>
      </c>
      <c r="D449" s="1">
        <v>10</v>
      </c>
      <c r="E449" s="1">
        <v>999.89</v>
      </c>
      <c r="F449" s="1">
        <v>0.02</v>
      </c>
      <c r="G449" s="2" t="s">
        <v>560</v>
      </c>
      <c r="H449" s="10">
        <v>-119.92</v>
      </c>
      <c r="I449" s="7">
        <v>99.99</v>
      </c>
      <c r="J449" s="7">
        <v>19.989999999999998</v>
      </c>
      <c r="K449" s="2" t="s">
        <v>800</v>
      </c>
      <c r="L449" s="16" t="s">
        <v>919</v>
      </c>
      <c r="M449" s="4" t="s">
        <v>563</v>
      </c>
      <c r="N449" s="2" t="s">
        <v>566</v>
      </c>
      <c r="O449" s="2" t="s">
        <v>569</v>
      </c>
      <c r="P449" s="2" t="s">
        <v>572</v>
      </c>
      <c r="Q449" s="1"/>
      <c r="R449" s="2" t="s">
        <v>585</v>
      </c>
      <c r="S449" s="8">
        <f>B449+1</f>
        <v>40253</v>
      </c>
    </row>
    <row r="450" spans="1:19" x14ac:dyDescent="0.15">
      <c r="A450" s="1">
        <v>36737</v>
      </c>
      <c r="B450" s="6">
        <f>DATE(2012,12,31)-1022</f>
        <v>40252</v>
      </c>
      <c r="C450" s="2" t="s">
        <v>915</v>
      </c>
      <c r="D450" s="1">
        <v>10</v>
      </c>
      <c r="E450" s="1">
        <v>35.69</v>
      </c>
      <c r="F450" s="1">
        <v>0.04</v>
      </c>
      <c r="G450" s="2" t="s">
        <v>560</v>
      </c>
      <c r="H450" s="10">
        <v>-31.24</v>
      </c>
      <c r="I450" s="7">
        <v>3.28</v>
      </c>
      <c r="J450" s="7">
        <v>4.2</v>
      </c>
      <c r="K450" s="2" t="s">
        <v>800</v>
      </c>
      <c r="L450" s="16" t="s">
        <v>919</v>
      </c>
      <c r="M450" s="4" t="s">
        <v>563</v>
      </c>
      <c r="N450" s="2" t="s">
        <v>566</v>
      </c>
      <c r="O450" s="2" t="s">
        <v>568</v>
      </c>
      <c r="P450" s="2" t="s">
        <v>571</v>
      </c>
      <c r="Q450" s="1"/>
      <c r="R450" s="2"/>
      <c r="S450" s="8">
        <f>B450+1</f>
        <v>40253</v>
      </c>
    </row>
    <row r="451" spans="1:19" x14ac:dyDescent="0.15">
      <c r="A451" s="1">
        <v>36832</v>
      </c>
      <c r="B451" s="6">
        <f>DATE(2012,12,31)-213</f>
        <v>41061</v>
      </c>
      <c r="C451" s="2" t="s">
        <v>916</v>
      </c>
      <c r="D451" s="1">
        <v>43</v>
      </c>
      <c r="E451" s="1">
        <v>532.89</v>
      </c>
      <c r="F451" s="1">
        <v>0.09</v>
      </c>
      <c r="G451" s="2" t="s">
        <v>560</v>
      </c>
      <c r="H451" s="10">
        <v>210.52800000000002</v>
      </c>
      <c r="I451" s="7">
        <v>12.97</v>
      </c>
      <c r="J451" s="7">
        <v>1.49</v>
      </c>
      <c r="K451" s="2" t="s">
        <v>825</v>
      </c>
      <c r="L451" s="16" t="s">
        <v>919</v>
      </c>
      <c r="M451" s="4" t="s">
        <v>563</v>
      </c>
      <c r="N451" s="2" t="s">
        <v>565</v>
      </c>
      <c r="O451" s="2" t="s">
        <v>568</v>
      </c>
      <c r="P451" s="2" t="s">
        <v>88</v>
      </c>
      <c r="Q451" s="1"/>
      <c r="R451" s="2"/>
      <c r="S451" s="8">
        <f>B451+7</f>
        <v>41068</v>
      </c>
    </row>
    <row r="452" spans="1:19" x14ac:dyDescent="0.15">
      <c r="A452" s="1">
        <v>36832</v>
      </c>
      <c r="B452" s="6">
        <f>DATE(2012,12,31)-213</f>
        <v>41061</v>
      </c>
      <c r="C452" s="2" t="s">
        <v>916</v>
      </c>
      <c r="D452" s="1">
        <v>24</v>
      </c>
      <c r="E452" s="1">
        <v>60.69</v>
      </c>
      <c r="F452" s="1">
        <v>0.06</v>
      </c>
      <c r="G452" s="2" t="s">
        <v>561</v>
      </c>
      <c r="H452" s="10">
        <v>-25.65</v>
      </c>
      <c r="I452" s="7">
        <v>2.12</v>
      </c>
      <c r="J452" s="7">
        <v>1.99</v>
      </c>
      <c r="K452" s="2" t="s">
        <v>825</v>
      </c>
      <c r="L452" s="16" t="s">
        <v>919</v>
      </c>
      <c r="M452" s="4" t="s">
        <v>563</v>
      </c>
      <c r="N452" s="2" t="s">
        <v>565</v>
      </c>
      <c r="O452" s="2"/>
      <c r="P452" s="2" t="s">
        <v>572</v>
      </c>
      <c r="Q452" s="1"/>
      <c r="R452" s="2"/>
      <c r="S452" s="8">
        <f>B452+5</f>
        <v>41066</v>
      </c>
    </row>
    <row r="453" spans="1:19" x14ac:dyDescent="0.15">
      <c r="A453" s="1">
        <v>36836</v>
      </c>
      <c r="B453" s="6">
        <f>DATE(2012,12,31)-1039</f>
        <v>40235</v>
      </c>
      <c r="C453" s="2" t="s">
        <v>914</v>
      </c>
      <c r="D453" s="1">
        <v>43</v>
      </c>
      <c r="E453" s="1">
        <v>16116.33</v>
      </c>
      <c r="F453" s="1">
        <v>0.08</v>
      </c>
      <c r="G453" s="2" t="s">
        <v>560</v>
      </c>
      <c r="H453" s="10">
        <v>6919.8670000000002</v>
      </c>
      <c r="I453" s="7">
        <v>387.99</v>
      </c>
      <c r="J453" s="7">
        <v>19.989999999999998</v>
      </c>
      <c r="K453" s="2" t="s">
        <v>842</v>
      </c>
      <c r="L453" s="16" t="s">
        <v>919</v>
      </c>
      <c r="M453" s="4" t="s">
        <v>563</v>
      </c>
      <c r="N453" s="2" t="s">
        <v>567</v>
      </c>
      <c r="O453" s="2"/>
      <c r="P453" s="2" t="s">
        <v>88</v>
      </c>
      <c r="Q453" s="1"/>
      <c r="R453" s="2"/>
      <c r="S453" s="8">
        <f>B453+3</f>
        <v>40238</v>
      </c>
    </row>
    <row r="454" spans="1:19" x14ac:dyDescent="0.15">
      <c r="A454" s="1">
        <v>36867</v>
      </c>
      <c r="B454" s="6">
        <f>DATE(2012,12,31)-1213</f>
        <v>40061</v>
      </c>
      <c r="C454" s="2" t="s">
        <v>913</v>
      </c>
      <c r="D454" s="1">
        <v>21</v>
      </c>
      <c r="E454" s="1">
        <v>5482.18</v>
      </c>
      <c r="F454" s="1">
        <v>0.06</v>
      </c>
      <c r="G454" s="2" t="s">
        <v>561</v>
      </c>
      <c r="H454" s="10">
        <v>1167.3800000000001</v>
      </c>
      <c r="I454" s="7">
        <v>276.2</v>
      </c>
      <c r="J454" s="7">
        <v>24.49</v>
      </c>
      <c r="K454" s="2" t="s">
        <v>617</v>
      </c>
      <c r="L454" s="16" t="s">
        <v>919</v>
      </c>
      <c r="M454" s="4" t="s">
        <v>563</v>
      </c>
      <c r="N454" s="2" t="s">
        <v>567</v>
      </c>
      <c r="O454" s="2"/>
      <c r="P454" s="2" t="s">
        <v>574</v>
      </c>
      <c r="Q454" s="1" t="s">
        <v>171</v>
      </c>
      <c r="R454" s="2"/>
      <c r="S454" s="8">
        <f>B454+2</f>
        <v>40063</v>
      </c>
    </row>
    <row r="455" spans="1:19" x14ac:dyDescent="0.15">
      <c r="A455" s="1">
        <v>36867</v>
      </c>
      <c r="B455" s="6">
        <f>DATE(2012,12,31)-1213</f>
        <v>40061</v>
      </c>
      <c r="C455" s="2" t="s">
        <v>913</v>
      </c>
      <c r="D455" s="1">
        <v>16</v>
      </c>
      <c r="E455" s="1">
        <v>45.57</v>
      </c>
      <c r="F455" s="1">
        <v>0.09</v>
      </c>
      <c r="G455" s="2" t="s">
        <v>560</v>
      </c>
      <c r="H455" s="10">
        <v>2.81</v>
      </c>
      <c r="I455" s="7">
        <v>2.88</v>
      </c>
      <c r="J455" s="7">
        <v>0.7</v>
      </c>
      <c r="K455" s="2" t="s">
        <v>617</v>
      </c>
      <c r="L455" s="16" t="s">
        <v>919</v>
      </c>
      <c r="M455" s="4" t="s">
        <v>563</v>
      </c>
      <c r="N455" s="2" t="s">
        <v>567</v>
      </c>
      <c r="O455" s="2"/>
      <c r="P455" s="2" t="s">
        <v>571</v>
      </c>
      <c r="Q455" s="1" t="s">
        <v>195</v>
      </c>
      <c r="R455" s="2"/>
      <c r="S455" s="8">
        <f>B455+2</f>
        <v>40063</v>
      </c>
    </row>
    <row r="456" spans="1:19" x14ac:dyDescent="0.15">
      <c r="A456" s="1">
        <v>37250</v>
      </c>
      <c r="B456" s="6">
        <f>DATE(2012,12,31)-1082</f>
        <v>40192</v>
      </c>
      <c r="C456" s="2" t="s">
        <v>913</v>
      </c>
      <c r="D456" s="1">
        <v>13</v>
      </c>
      <c r="E456" s="1">
        <v>473.46</v>
      </c>
      <c r="F456" s="1">
        <v>0.03</v>
      </c>
      <c r="G456" s="2" t="s">
        <v>560</v>
      </c>
      <c r="H456" s="10">
        <v>128.11000000000001</v>
      </c>
      <c r="I456" s="7">
        <v>35.94</v>
      </c>
      <c r="J456" s="7">
        <v>6.66</v>
      </c>
      <c r="K456" s="2" t="s">
        <v>766</v>
      </c>
      <c r="L456" s="16" t="s">
        <v>919</v>
      </c>
      <c r="M456" s="4" t="s">
        <v>563</v>
      </c>
      <c r="N456" s="2" t="s">
        <v>567</v>
      </c>
      <c r="O456" s="2"/>
      <c r="P456" s="2" t="s">
        <v>575</v>
      </c>
      <c r="Q456" s="1" t="s">
        <v>175</v>
      </c>
      <c r="R456" s="2"/>
      <c r="S456" s="8">
        <f>B456+1</f>
        <v>40193</v>
      </c>
    </row>
    <row r="457" spans="1:19" x14ac:dyDescent="0.15">
      <c r="A457" s="1">
        <v>37473</v>
      </c>
      <c r="B457" s="6">
        <f>DATE(2012,12,31)-1187</f>
        <v>40087</v>
      </c>
      <c r="C457" s="2" t="s">
        <v>916</v>
      </c>
      <c r="D457" s="1">
        <v>42</v>
      </c>
      <c r="E457" s="1">
        <v>88.23</v>
      </c>
      <c r="F457" s="1">
        <v>0.1</v>
      </c>
      <c r="G457" s="2" t="s">
        <v>560</v>
      </c>
      <c r="H457" s="10">
        <v>-195.93</v>
      </c>
      <c r="I457" s="7">
        <v>2.1800000000000002</v>
      </c>
      <c r="J457" s="7">
        <v>5</v>
      </c>
      <c r="K457" s="2" t="s">
        <v>822</v>
      </c>
      <c r="L457" s="16" t="s">
        <v>919</v>
      </c>
      <c r="M457" s="4" t="s">
        <v>563</v>
      </c>
      <c r="N457" s="2" t="s">
        <v>565</v>
      </c>
      <c r="O457" s="2"/>
      <c r="P457" s="2" t="s">
        <v>89</v>
      </c>
      <c r="Q457" s="1" t="s">
        <v>468</v>
      </c>
      <c r="R457" s="2"/>
      <c r="S457" s="8">
        <f>B457+4</f>
        <v>40091</v>
      </c>
    </row>
    <row r="458" spans="1:19" x14ac:dyDescent="0.15">
      <c r="A458" s="1">
        <v>37505</v>
      </c>
      <c r="B458" s="6">
        <f>DATE(2012,12,31)-577</f>
        <v>40697</v>
      </c>
      <c r="C458" s="2" t="s">
        <v>916</v>
      </c>
      <c r="D458" s="1">
        <v>1</v>
      </c>
      <c r="E458" s="1">
        <v>29.19</v>
      </c>
      <c r="F458" s="1">
        <v>0.03</v>
      </c>
      <c r="G458" s="2" t="s">
        <v>560</v>
      </c>
      <c r="H458" s="10">
        <v>-23.1</v>
      </c>
      <c r="I458" s="7">
        <v>16.98</v>
      </c>
      <c r="J458" s="7">
        <v>12.39</v>
      </c>
      <c r="K458" s="2" t="s">
        <v>802</v>
      </c>
      <c r="L458" s="16" t="s">
        <v>919</v>
      </c>
      <c r="M458" s="4" t="s">
        <v>563</v>
      </c>
      <c r="N458" s="2" t="s">
        <v>564</v>
      </c>
      <c r="O458" s="2"/>
      <c r="P458" s="2" t="s">
        <v>575</v>
      </c>
      <c r="Q458" s="1" t="s">
        <v>102</v>
      </c>
      <c r="R458" s="2"/>
      <c r="S458" s="8">
        <f>B458+2</f>
        <v>40699</v>
      </c>
    </row>
    <row r="459" spans="1:19" x14ac:dyDescent="0.15">
      <c r="A459" s="1">
        <v>37505</v>
      </c>
      <c r="B459" s="6">
        <f>DATE(2012,12,31)-577</f>
        <v>40697</v>
      </c>
      <c r="C459" s="2" t="s">
        <v>916</v>
      </c>
      <c r="D459" s="1">
        <v>9</v>
      </c>
      <c r="E459" s="1">
        <v>2007.24</v>
      </c>
      <c r="F459" s="1">
        <v>0.03</v>
      </c>
      <c r="G459" s="2" t="s">
        <v>561</v>
      </c>
      <c r="H459" s="10">
        <v>600.4</v>
      </c>
      <c r="I459" s="7">
        <v>225.04</v>
      </c>
      <c r="J459" s="7">
        <v>11.79</v>
      </c>
      <c r="K459" s="2" t="s">
        <v>802</v>
      </c>
      <c r="L459" s="16" t="s">
        <v>919</v>
      </c>
      <c r="M459" s="4" t="s">
        <v>563</v>
      </c>
      <c r="N459" s="2" t="s">
        <v>564</v>
      </c>
      <c r="O459" s="2"/>
      <c r="P459" s="2" t="s">
        <v>576</v>
      </c>
      <c r="Q459" s="1" t="s">
        <v>315</v>
      </c>
      <c r="R459" s="2"/>
      <c r="S459" s="8">
        <f>B459+2</f>
        <v>40699</v>
      </c>
    </row>
    <row r="460" spans="1:19" x14ac:dyDescent="0.15">
      <c r="A460" s="1">
        <v>37505</v>
      </c>
      <c r="B460" s="6">
        <f>DATE(2012,12,31)-577</f>
        <v>40697</v>
      </c>
      <c r="C460" s="2" t="s">
        <v>916</v>
      </c>
      <c r="D460" s="1">
        <v>42</v>
      </c>
      <c r="E460" s="1">
        <v>384.41</v>
      </c>
      <c r="F460" s="1">
        <v>0.05</v>
      </c>
      <c r="G460" s="2" t="s">
        <v>560</v>
      </c>
      <c r="H460" s="10">
        <v>-44.300400000000003</v>
      </c>
      <c r="I460" s="7">
        <v>9.49</v>
      </c>
      <c r="J460" s="7">
        <v>5.76</v>
      </c>
      <c r="K460" s="2" t="s">
        <v>802</v>
      </c>
      <c r="L460" s="16" t="s">
        <v>919</v>
      </c>
      <c r="M460" s="4" t="s">
        <v>563</v>
      </c>
      <c r="N460" s="2" t="s">
        <v>564</v>
      </c>
      <c r="O460" s="2"/>
      <c r="P460" s="2" t="s">
        <v>583</v>
      </c>
      <c r="Q460" s="1" t="s">
        <v>236</v>
      </c>
      <c r="R460" s="2"/>
      <c r="S460" s="8">
        <f>B460+5</f>
        <v>40702</v>
      </c>
    </row>
    <row r="461" spans="1:19" x14ac:dyDescent="0.15">
      <c r="A461" s="1">
        <v>37537</v>
      </c>
      <c r="B461" s="6">
        <f>DATE(2012,12,31)-1459</f>
        <v>39815</v>
      </c>
      <c r="C461" s="2" t="s">
        <v>916</v>
      </c>
      <c r="D461" s="1">
        <v>4</v>
      </c>
      <c r="E461" s="1">
        <v>1239.06</v>
      </c>
      <c r="F461" s="1">
        <v>0</v>
      </c>
      <c r="G461" s="2" t="s">
        <v>562</v>
      </c>
      <c r="H461" s="10">
        <v>-193.08</v>
      </c>
      <c r="I461" s="7">
        <v>291.73</v>
      </c>
      <c r="J461" s="7">
        <v>48.8</v>
      </c>
      <c r="K461" s="2" t="s">
        <v>907</v>
      </c>
      <c r="L461" s="16" t="s">
        <v>919</v>
      </c>
      <c r="M461" s="4" t="s">
        <v>563</v>
      </c>
      <c r="N461" s="2" t="s">
        <v>567</v>
      </c>
      <c r="O461" s="2"/>
      <c r="P461" s="2" t="s">
        <v>574</v>
      </c>
      <c r="Q461" s="1" t="s">
        <v>157</v>
      </c>
      <c r="R461" s="2"/>
      <c r="S461" s="8">
        <f>B461+0</f>
        <v>39815</v>
      </c>
    </row>
    <row r="462" spans="1:19" x14ac:dyDescent="0.15">
      <c r="A462" s="1">
        <v>37537</v>
      </c>
      <c r="B462" s="6">
        <f>DATE(2012,12,31)-1459</f>
        <v>39815</v>
      </c>
      <c r="C462" s="2" t="s">
        <v>916</v>
      </c>
      <c r="D462" s="1">
        <v>43</v>
      </c>
      <c r="E462" s="1">
        <v>4083.19</v>
      </c>
      <c r="F462" s="1">
        <v>7.0000000000000007E-2</v>
      </c>
      <c r="G462" s="2" t="s">
        <v>562</v>
      </c>
      <c r="H462" s="10">
        <v>-1049.8499999999999</v>
      </c>
      <c r="I462" s="7">
        <v>100.98</v>
      </c>
      <c r="J462" s="7">
        <v>45</v>
      </c>
      <c r="K462" s="2" t="s">
        <v>907</v>
      </c>
      <c r="L462" s="16" t="s">
        <v>919</v>
      </c>
      <c r="M462" s="4" t="s">
        <v>563</v>
      </c>
      <c r="N462" s="2" t="s">
        <v>567</v>
      </c>
      <c r="O462" s="2"/>
      <c r="P462" s="2" t="s">
        <v>574</v>
      </c>
      <c r="Q462" s="1" t="s">
        <v>243</v>
      </c>
      <c r="R462" s="2"/>
      <c r="S462" s="8">
        <f>B462+2</f>
        <v>39817</v>
      </c>
    </row>
    <row r="463" spans="1:19" x14ac:dyDescent="0.15">
      <c r="A463" s="1">
        <v>37537</v>
      </c>
      <c r="B463" s="6">
        <f>DATE(2012,12,31)-1459</f>
        <v>39815</v>
      </c>
      <c r="C463" s="2" t="s">
        <v>916</v>
      </c>
      <c r="D463" s="1">
        <v>32</v>
      </c>
      <c r="E463" s="1">
        <v>4902.38</v>
      </c>
      <c r="F463" s="1">
        <v>0.05</v>
      </c>
      <c r="G463" s="2" t="s">
        <v>560</v>
      </c>
      <c r="H463" s="10">
        <v>1438.49</v>
      </c>
      <c r="I463" s="7">
        <v>155.06</v>
      </c>
      <c r="J463" s="7">
        <v>7.07</v>
      </c>
      <c r="K463" s="2" t="s">
        <v>907</v>
      </c>
      <c r="L463" s="16" t="s">
        <v>919</v>
      </c>
      <c r="M463" s="4" t="s">
        <v>563</v>
      </c>
      <c r="N463" s="2" t="s">
        <v>567</v>
      </c>
      <c r="O463" s="2"/>
      <c r="P463" s="2" t="s">
        <v>577</v>
      </c>
      <c r="Q463" s="1" t="s">
        <v>104</v>
      </c>
      <c r="R463" s="2"/>
      <c r="S463" s="8">
        <f>B463+7</f>
        <v>39822</v>
      </c>
    </row>
    <row r="464" spans="1:19" x14ac:dyDescent="0.15">
      <c r="A464" s="1">
        <v>37606</v>
      </c>
      <c r="B464" s="6">
        <f>DATE(2012,12,31)-1043</f>
        <v>40231</v>
      </c>
      <c r="C464" s="2" t="s">
        <v>917</v>
      </c>
      <c r="D464" s="1">
        <v>1</v>
      </c>
      <c r="E464" s="1">
        <v>19.96</v>
      </c>
      <c r="F464" s="1">
        <v>0.05</v>
      </c>
      <c r="G464" s="2" t="s">
        <v>561</v>
      </c>
      <c r="H464" s="10">
        <v>3.25</v>
      </c>
      <c r="I464" s="7">
        <v>4.9800000000000004</v>
      </c>
      <c r="J464" s="7">
        <v>4.8600000000000003</v>
      </c>
      <c r="K464" s="2" t="s">
        <v>763</v>
      </c>
      <c r="L464" s="16" t="s">
        <v>919</v>
      </c>
      <c r="M464" s="4" t="s">
        <v>563</v>
      </c>
      <c r="N464" s="2" t="s">
        <v>566</v>
      </c>
      <c r="O464" s="2"/>
      <c r="P464" s="2" t="s">
        <v>573</v>
      </c>
      <c r="Q464" s="1" t="s">
        <v>137</v>
      </c>
      <c r="R464" s="2"/>
      <c r="S464" s="8">
        <f>B464+1</f>
        <v>40232</v>
      </c>
    </row>
    <row r="465" spans="1:19" x14ac:dyDescent="0.15">
      <c r="A465" s="1">
        <v>37606</v>
      </c>
      <c r="B465" s="6">
        <f>DATE(2012,12,31)-1043</f>
        <v>40231</v>
      </c>
      <c r="C465" s="2" t="s">
        <v>917</v>
      </c>
      <c r="D465" s="1">
        <v>41</v>
      </c>
      <c r="E465" s="1">
        <v>148.99</v>
      </c>
      <c r="F465" s="1">
        <v>0.03</v>
      </c>
      <c r="G465" s="2" t="s">
        <v>560</v>
      </c>
      <c r="H465" s="10">
        <v>-115.48</v>
      </c>
      <c r="I465" s="7">
        <v>3.57</v>
      </c>
      <c r="J465" s="7">
        <v>4.17</v>
      </c>
      <c r="K465" s="2" t="s">
        <v>763</v>
      </c>
      <c r="L465" s="16" t="s">
        <v>919</v>
      </c>
      <c r="M465" s="4" t="s">
        <v>563</v>
      </c>
      <c r="N465" s="2" t="s">
        <v>566</v>
      </c>
      <c r="O465" s="2" t="s">
        <v>568</v>
      </c>
      <c r="P465" s="2" t="s">
        <v>571</v>
      </c>
      <c r="Q465" s="1" t="s">
        <v>25</v>
      </c>
      <c r="R465" s="2" t="s">
        <v>587</v>
      </c>
      <c r="S465" s="8">
        <f>B465+2</f>
        <v>40233</v>
      </c>
    </row>
    <row r="466" spans="1:19" x14ac:dyDescent="0.15">
      <c r="A466" s="1">
        <v>37606</v>
      </c>
      <c r="B466" s="6">
        <f>DATE(2012,12,31)-1043</f>
        <v>40231</v>
      </c>
      <c r="C466" s="2" t="s">
        <v>917</v>
      </c>
      <c r="D466" s="1">
        <v>21</v>
      </c>
      <c r="E466" s="1">
        <v>70.66</v>
      </c>
      <c r="F466" s="1">
        <v>0.06</v>
      </c>
      <c r="G466" s="2" t="s">
        <v>560</v>
      </c>
      <c r="H466" s="10">
        <v>-57.84</v>
      </c>
      <c r="I466" s="7">
        <v>3.28</v>
      </c>
      <c r="J466" s="7">
        <v>3.97</v>
      </c>
      <c r="K466" s="2" t="s">
        <v>763</v>
      </c>
      <c r="L466" s="16" t="s">
        <v>919</v>
      </c>
      <c r="M466" s="4" t="s">
        <v>563</v>
      </c>
      <c r="N466" s="2" t="s">
        <v>566</v>
      </c>
      <c r="O466" s="2" t="s">
        <v>568</v>
      </c>
      <c r="P466" s="2" t="s">
        <v>571</v>
      </c>
      <c r="Q466" s="1" t="s">
        <v>164</v>
      </c>
      <c r="R466" s="2" t="s">
        <v>584</v>
      </c>
      <c r="S466" s="8">
        <f>B466+2</f>
        <v>40233</v>
      </c>
    </row>
    <row r="467" spans="1:19" x14ac:dyDescent="0.15">
      <c r="A467" s="1">
        <v>37668</v>
      </c>
      <c r="B467" s="6">
        <f>DATE(2012,12,31)-1088</f>
        <v>40186</v>
      </c>
      <c r="C467" s="2" t="s">
        <v>916</v>
      </c>
      <c r="D467" s="1">
        <v>33</v>
      </c>
      <c r="E467" s="1">
        <v>478.27</v>
      </c>
      <c r="F467" s="1">
        <v>0.01</v>
      </c>
      <c r="G467" s="2" t="s">
        <v>560</v>
      </c>
      <c r="H467" s="10">
        <v>-4.8459000000000003</v>
      </c>
      <c r="I467" s="7">
        <v>13.99</v>
      </c>
      <c r="J467" s="7">
        <v>7.51</v>
      </c>
      <c r="K467" s="2" t="s">
        <v>848</v>
      </c>
      <c r="L467" s="16" t="s">
        <v>919</v>
      </c>
      <c r="M467" s="4" t="s">
        <v>563</v>
      </c>
      <c r="N467" s="2" t="s">
        <v>567</v>
      </c>
      <c r="O467" s="2" t="s">
        <v>569</v>
      </c>
      <c r="P467" s="2" t="s">
        <v>583</v>
      </c>
      <c r="Q467" s="1" t="s">
        <v>95</v>
      </c>
      <c r="R467" s="2" t="s">
        <v>589</v>
      </c>
      <c r="S467" s="8">
        <f>B467+0</f>
        <v>40186</v>
      </c>
    </row>
    <row r="468" spans="1:19" x14ac:dyDescent="0.15">
      <c r="A468" s="1">
        <v>37830</v>
      </c>
      <c r="B468" s="6">
        <f>DATE(2012,12,31)-1233</f>
        <v>40041</v>
      </c>
      <c r="C468" s="2" t="s">
        <v>915</v>
      </c>
      <c r="D468" s="1">
        <v>39</v>
      </c>
      <c r="E468" s="1">
        <v>977.92</v>
      </c>
      <c r="F468" s="1">
        <v>0.05</v>
      </c>
      <c r="G468" s="2" t="s">
        <v>561</v>
      </c>
      <c r="H468" s="10">
        <v>148.88999999999999</v>
      </c>
      <c r="I468" s="7">
        <v>25.99</v>
      </c>
      <c r="J468" s="7">
        <v>5.37</v>
      </c>
      <c r="K468" s="2" t="s">
        <v>826</v>
      </c>
      <c r="L468" s="16" t="s">
        <v>919</v>
      </c>
      <c r="M468" s="4" t="s">
        <v>563</v>
      </c>
      <c r="N468" s="2" t="s">
        <v>567</v>
      </c>
      <c r="O468" s="2" t="s">
        <v>568</v>
      </c>
      <c r="P468" s="2" t="s">
        <v>571</v>
      </c>
      <c r="Q468" s="1" t="s">
        <v>147</v>
      </c>
      <c r="R468" s="2" t="s">
        <v>585</v>
      </c>
      <c r="S468" s="8">
        <f>B468+2</f>
        <v>40043</v>
      </c>
    </row>
    <row r="469" spans="1:19" x14ac:dyDescent="0.15">
      <c r="A469" s="1">
        <v>37957</v>
      </c>
      <c r="B469" s="6">
        <f>DATE(2012,12,31)-787</f>
        <v>40487</v>
      </c>
      <c r="C469" s="2" t="s">
        <v>915</v>
      </c>
      <c r="D469" s="1">
        <v>31</v>
      </c>
      <c r="E469" s="1">
        <v>229.26</v>
      </c>
      <c r="F469" s="1">
        <v>0</v>
      </c>
      <c r="G469" s="2" t="s">
        <v>560</v>
      </c>
      <c r="H469" s="10">
        <v>-37.202500000000001</v>
      </c>
      <c r="I469" s="7">
        <v>6.81</v>
      </c>
      <c r="J469" s="7">
        <v>5.48</v>
      </c>
      <c r="K469" s="2" t="s">
        <v>825</v>
      </c>
      <c r="L469" s="16" t="s">
        <v>919</v>
      </c>
      <c r="M469" s="4" t="s">
        <v>563</v>
      </c>
      <c r="N469" s="2" t="s">
        <v>565</v>
      </c>
      <c r="O469" s="2" t="s">
        <v>568</v>
      </c>
      <c r="P469" s="2" t="s">
        <v>88</v>
      </c>
      <c r="Q469" s="1" t="s">
        <v>615</v>
      </c>
      <c r="R469" s="2" t="s">
        <v>585</v>
      </c>
      <c r="S469" s="8">
        <f>B469+1</f>
        <v>40488</v>
      </c>
    </row>
    <row r="470" spans="1:19" x14ac:dyDescent="0.15">
      <c r="A470" s="1">
        <v>38406</v>
      </c>
      <c r="B470" s="6">
        <f>DATE(2012,12,31)-760</f>
        <v>40514</v>
      </c>
      <c r="C470" s="2" t="s">
        <v>914</v>
      </c>
      <c r="D470" s="1">
        <v>12</v>
      </c>
      <c r="E470" s="1">
        <v>754.94</v>
      </c>
      <c r="F470" s="1">
        <v>0.01</v>
      </c>
      <c r="G470" s="2" t="s">
        <v>562</v>
      </c>
      <c r="H470" s="10">
        <v>-226.24</v>
      </c>
      <c r="I470" s="7">
        <v>58.14</v>
      </c>
      <c r="J470" s="7">
        <v>36.61</v>
      </c>
      <c r="K470" s="2" t="s">
        <v>808</v>
      </c>
      <c r="L470" s="16" t="s">
        <v>919</v>
      </c>
      <c r="M470" s="4" t="s">
        <v>563</v>
      </c>
      <c r="N470" s="2" t="s">
        <v>565</v>
      </c>
      <c r="O470" s="2" t="s">
        <v>570</v>
      </c>
      <c r="P470" s="2" t="s">
        <v>581</v>
      </c>
      <c r="Q470" s="1" t="s">
        <v>381</v>
      </c>
      <c r="R470" s="2" t="s">
        <v>588</v>
      </c>
      <c r="S470" s="8">
        <f>B470+1</f>
        <v>40515</v>
      </c>
    </row>
    <row r="471" spans="1:19" x14ac:dyDescent="0.15">
      <c r="A471" s="1">
        <v>38594</v>
      </c>
      <c r="B471" s="6">
        <f>DATE(2012,12,31)-1126</f>
        <v>40148</v>
      </c>
      <c r="C471" s="2" t="s">
        <v>914</v>
      </c>
      <c r="D471" s="1">
        <v>26</v>
      </c>
      <c r="E471" s="1">
        <v>1011.9</v>
      </c>
      <c r="F471" s="1">
        <v>7.0000000000000007E-2</v>
      </c>
      <c r="G471" s="2" t="s">
        <v>560</v>
      </c>
      <c r="H471" s="10">
        <v>247.94</v>
      </c>
      <c r="I471" s="7">
        <v>39.479999999999997</v>
      </c>
      <c r="J471" s="7">
        <v>1.99</v>
      </c>
      <c r="K471" s="2" t="s">
        <v>898</v>
      </c>
      <c r="L471" s="16" t="s">
        <v>919</v>
      </c>
      <c r="M471" s="4" t="s">
        <v>563</v>
      </c>
      <c r="N471" s="2" t="s">
        <v>567</v>
      </c>
      <c r="O471" s="2" t="s">
        <v>569</v>
      </c>
      <c r="P471" s="2" t="s">
        <v>572</v>
      </c>
      <c r="Q471" s="1" t="s">
        <v>271</v>
      </c>
      <c r="R471" s="2" t="s">
        <v>587</v>
      </c>
      <c r="S471" s="8">
        <f>B471+1</f>
        <v>40149</v>
      </c>
    </row>
    <row r="472" spans="1:19" x14ac:dyDescent="0.15">
      <c r="A472" s="1">
        <v>38657</v>
      </c>
      <c r="B472" s="6">
        <f>DATE(2012,12,31)-948</f>
        <v>40326</v>
      </c>
      <c r="C472" s="2" t="s">
        <v>915</v>
      </c>
      <c r="D472" s="1">
        <v>38</v>
      </c>
      <c r="E472" s="1">
        <v>1279.25</v>
      </c>
      <c r="F472" s="1">
        <v>0.01</v>
      </c>
      <c r="G472" s="2" t="s">
        <v>560</v>
      </c>
      <c r="H472" s="10">
        <v>569.29999999999995</v>
      </c>
      <c r="I472" s="7">
        <v>31.78</v>
      </c>
      <c r="J472" s="7">
        <v>1.99</v>
      </c>
      <c r="K472" s="2" t="s">
        <v>632</v>
      </c>
      <c r="L472" s="16" t="s">
        <v>919</v>
      </c>
      <c r="M472" s="4" t="s">
        <v>563</v>
      </c>
      <c r="N472" s="2" t="s">
        <v>566</v>
      </c>
      <c r="O472" s="2" t="s">
        <v>569</v>
      </c>
      <c r="P472" s="2" t="s">
        <v>572</v>
      </c>
      <c r="Q472" s="1" t="s">
        <v>437</v>
      </c>
      <c r="R472" s="2" t="s">
        <v>587</v>
      </c>
      <c r="S472" s="8">
        <f>B472+1</f>
        <v>40327</v>
      </c>
    </row>
    <row r="473" spans="1:19" x14ac:dyDescent="0.15">
      <c r="A473" s="1">
        <v>38850</v>
      </c>
      <c r="B473" s="6">
        <f>DATE(2012,12,31)-977</f>
        <v>40297</v>
      </c>
      <c r="C473" s="2" t="s">
        <v>914</v>
      </c>
      <c r="D473" s="1">
        <v>34</v>
      </c>
      <c r="E473" s="1">
        <v>12570.74</v>
      </c>
      <c r="F473" s="1">
        <v>0.02</v>
      </c>
      <c r="G473" s="2" t="s">
        <v>562</v>
      </c>
      <c r="H473" s="10">
        <v>-4560.43</v>
      </c>
      <c r="I473" s="7">
        <v>348.21</v>
      </c>
      <c r="J473" s="7">
        <v>40.19</v>
      </c>
      <c r="K473" s="2" t="s">
        <v>831</v>
      </c>
      <c r="L473" s="16" t="s">
        <v>919</v>
      </c>
      <c r="M473" s="4" t="s">
        <v>563</v>
      </c>
      <c r="N473" s="2" t="s">
        <v>564</v>
      </c>
      <c r="O473" s="2" t="s">
        <v>570</v>
      </c>
      <c r="P473" s="2" t="s">
        <v>578</v>
      </c>
      <c r="Q473" s="1" t="s">
        <v>282</v>
      </c>
      <c r="R473" s="2" t="s">
        <v>588</v>
      </c>
      <c r="S473" s="8">
        <f>B473+2</f>
        <v>40299</v>
      </c>
    </row>
    <row r="474" spans="1:19" x14ac:dyDescent="0.15">
      <c r="A474" s="1">
        <v>38913</v>
      </c>
      <c r="B474" s="6">
        <f>DATE(2012,12,31)-1212</f>
        <v>40062</v>
      </c>
      <c r="C474" s="2" t="s">
        <v>915</v>
      </c>
      <c r="D474" s="1">
        <v>7</v>
      </c>
      <c r="E474" s="1">
        <v>230.29</v>
      </c>
      <c r="F474" s="1">
        <v>0.03</v>
      </c>
      <c r="G474" s="2" t="s">
        <v>560</v>
      </c>
      <c r="H474" s="10">
        <v>-4.3009999999999939</v>
      </c>
      <c r="I474" s="7">
        <v>31.74</v>
      </c>
      <c r="J474" s="7">
        <v>12.62</v>
      </c>
      <c r="K474" s="2" t="s">
        <v>809</v>
      </c>
      <c r="L474" s="16" t="s">
        <v>919</v>
      </c>
      <c r="M474" s="4" t="s">
        <v>563</v>
      </c>
      <c r="N474" s="2" t="s">
        <v>564</v>
      </c>
      <c r="O474" s="2" t="s">
        <v>568</v>
      </c>
      <c r="P474" s="2" t="s">
        <v>88</v>
      </c>
      <c r="Q474" s="1" t="s">
        <v>427</v>
      </c>
      <c r="R474" s="2" t="s">
        <v>585</v>
      </c>
      <c r="S474" s="8">
        <f>B474+0</f>
        <v>40062</v>
      </c>
    </row>
    <row r="475" spans="1:19" x14ac:dyDescent="0.15">
      <c r="A475" s="1">
        <v>38948</v>
      </c>
      <c r="B475" s="6">
        <f>DATE(2012,12,31)-575</f>
        <v>40699</v>
      </c>
      <c r="C475" s="2" t="s">
        <v>915</v>
      </c>
      <c r="D475" s="1">
        <v>9</v>
      </c>
      <c r="E475" s="1">
        <v>1394.28</v>
      </c>
      <c r="F475" s="1">
        <v>0.03</v>
      </c>
      <c r="G475" s="2" t="s">
        <v>560</v>
      </c>
      <c r="H475" s="10">
        <v>197.16</v>
      </c>
      <c r="I475" s="7">
        <v>155.06</v>
      </c>
      <c r="J475" s="7">
        <v>7.07</v>
      </c>
      <c r="K475" s="2" t="s">
        <v>760</v>
      </c>
      <c r="L475" s="16" t="s">
        <v>919</v>
      </c>
      <c r="M475" s="4" t="s">
        <v>563</v>
      </c>
      <c r="N475" s="2" t="s">
        <v>564</v>
      </c>
      <c r="O475" s="2" t="s">
        <v>568</v>
      </c>
      <c r="P475" s="2" t="s">
        <v>577</v>
      </c>
      <c r="Q475" s="1" t="s">
        <v>104</v>
      </c>
      <c r="R475" s="2" t="s">
        <v>585</v>
      </c>
      <c r="S475" s="8">
        <f>B475+1</f>
        <v>40700</v>
      </c>
    </row>
    <row r="476" spans="1:19" x14ac:dyDescent="0.15">
      <c r="A476" s="1">
        <v>38948</v>
      </c>
      <c r="B476" s="6">
        <f>DATE(2012,12,31)-575</f>
        <v>40699</v>
      </c>
      <c r="C476" s="2" t="s">
        <v>915</v>
      </c>
      <c r="D476" s="1">
        <v>44</v>
      </c>
      <c r="E476" s="1">
        <v>6862.2370000000001</v>
      </c>
      <c r="F476" s="1">
        <v>0.05</v>
      </c>
      <c r="G476" s="2" t="s">
        <v>561</v>
      </c>
      <c r="H476" s="10">
        <v>1839.204</v>
      </c>
      <c r="I476" s="7">
        <v>179.99</v>
      </c>
      <c r="J476" s="7">
        <v>13.99</v>
      </c>
      <c r="K476" s="2" t="s">
        <v>760</v>
      </c>
      <c r="L476" s="16" t="s">
        <v>919</v>
      </c>
      <c r="M476" s="4" t="s">
        <v>563</v>
      </c>
      <c r="N476" s="2" t="s">
        <v>564</v>
      </c>
      <c r="O476" s="2" t="s">
        <v>569</v>
      </c>
      <c r="P476" s="2" t="s">
        <v>87</v>
      </c>
      <c r="Q476" s="1" t="s">
        <v>753</v>
      </c>
      <c r="R476" s="2" t="s">
        <v>589</v>
      </c>
      <c r="S476" s="8">
        <f>B476+1</f>
        <v>40700</v>
      </c>
    </row>
    <row r="477" spans="1:19" x14ac:dyDescent="0.15">
      <c r="A477" s="1">
        <v>39041</v>
      </c>
      <c r="B477" s="6">
        <f>DATE(2012,12,31)-432</f>
        <v>40842</v>
      </c>
      <c r="C477" s="2" t="s">
        <v>917</v>
      </c>
      <c r="D477" s="1">
        <v>47</v>
      </c>
      <c r="E477" s="1">
        <v>418.03</v>
      </c>
      <c r="F477" s="1">
        <v>0</v>
      </c>
      <c r="G477" s="2" t="s">
        <v>561</v>
      </c>
      <c r="H477" s="10">
        <v>-158.58000000000001</v>
      </c>
      <c r="I477" s="7">
        <v>8.09</v>
      </c>
      <c r="J477" s="7">
        <v>7.96</v>
      </c>
      <c r="K477" s="2" t="s">
        <v>868</v>
      </c>
      <c r="L477" s="16" t="s">
        <v>919</v>
      </c>
      <c r="M477" s="4" t="s">
        <v>563</v>
      </c>
      <c r="N477" s="2" t="s">
        <v>567</v>
      </c>
      <c r="O477" s="2" t="s">
        <v>570</v>
      </c>
      <c r="P477" s="2" t="s">
        <v>579</v>
      </c>
      <c r="Q477" s="1" t="s">
        <v>668</v>
      </c>
      <c r="R477" s="2" t="s">
        <v>585</v>
      </c>
      <c r="S477" s="8">
        <f>B477+0</f>
        <v>40842</v>
      </c>
    </row>
    <row r="478" spans="1:19" x14ac:dyDescent="0.15">
      <c r="A478" s="1">
        <v>39041</v>
      </c>
      <c r="B478" s="6">
        <f>DATE(2012,12,31)-432</f>
        <v>40842</v>
      </c>
      <c r="C478" s="2" t="s">
        <v>917</v>
      </c>
      <c r="D478" s="1">
        <v>23</v>
      </c>
      <c r="E478" s="1">
        <v>336.86</v>
      </c>
      <c r="F478" s="1">
        <v>0.06</v>
      </c>
      <c r="G478" s="2" t="s">
        <v>560</v>
      </c>
      <c r="H478" s="10">
        <v>36.32</v>
      </c>
      <c r="I478" s="7">
        <v>14.2</v>
      </c>
      <c r="J478" s="7">
        <v>5.3</v>
      </c>
      <c r="K478" s="2" t="s">
        <v>868</v>
      </c>
      <c r="L478" s="16" t="s">
        <v>919</v>
      </c>
      <c r="M478" s="4" t="s">
        <v>563</v>
      </c>
      <c r="N478" s="2" t="s">
        <v>567</v>
      </c>
      <c r="O478" s="2" t="s">
        <v>570</v>
      </c>
      <c r="P478" s="2" t="s">
        <v>579</v>
      </c>
      <c r="Q478" s="1" t="s">
        <v>652</v>
      </c>
      <c r="R478" s="2" t="s">
        <v>584</v>
      </c>
      <c r="S478" s="8">
        <f>B478+2</f>
        <v>40844</v>
      </c>
    </row>
    <row r="479" spans="1:19" x14ac:dyDescent="0.15">
      <c r="A479" s="1">
        <v>39136</v>
      </c>
      <c r="B479" s="6">
        <f>DATE(2012,12,31)-1286</f>
        <v>39988</v>
      </c>
      <c r="C479" s="2" t="s">
        <v>913</v>
      </c>
      <c r="D479" s="1">
        <v>49</v>
      </c>
      <c r="E479" s="1">
        <v>2693.5140000000001</v>
      </c>
      <c r="F479" s="1">
        <v>0.02</v>
      </c>
      <c r="G479" s="2" t="s">
        <v>560</v>
      </c>
      <c r="H479" s="10">
        <v>662.04899999999998</v>
      </c>
      <c r="I479" s="7">
        <v>65.989999999999995</v>
      </c>
      <c r="J479" s="7">
        <v>3.99</v>
      </c>
      <c r="K479" s="2" t="s">
        <v>893</v>
      </c>
      <c r="L479" s="16" t="s">
        <v>919</v>
      </c>
      <c r="M479" s="4" t="s">
        <v>563</v>
      </c>
      <c r="N479" s="2" t="s">
        <v>567</v>
      </c>
      <c r="O479" s="2" t="s">
        <v>569</v>
      </c>
      <c r="P479" s="2" t="s">
        <v>87</v>
      </c>
      <c r="Q479" s="1" t="s">
        <v>168</v>
      </c>
      <c r="R479" s="2" t="s">
        <v>585</v>
      </c>
      <c r="S479" s="8">
        <f>B479+2</f>
        <v>39990</v>
      </c>
    </row>
    <row r="480" spans="1:19" x14ac:dyDescent="0.15">
      <c r="A480" s="1">
        <v>39232</v>
      </c>
      <c r="B480" s="6">
        <f>DATE(2012,12,31)-538</f>
        <v>40736</v>
      </c>
      <c r="C480" s="2" t="s">
        <v>916</v>
      </c>
      <c r="D480" s="1">
        <v>11</v>
      </c>
      <c r="E480" s="1">
        <v>391.9</v>
      </c>
      <c r="F480" s="1">
        <v>0.1</v>
      </c>
      <c r="G480" s="2" t="s">
        <v>560</v>
      </c>
      <c r="H480" s="10">
        <v>-47.01</v>
      </c>
      <c r="I480" s="7">
        <v>35.44</v>
      </c>
      <c r="J480" s="7">
        <v>19.989999999999998</v>
      </c>
      <c r="K480" s="2" t="s">
        <v>868</v>
      </c>
      <c r="L480" s="16" t="s">
        <v>919</v>
      </c>
      <c r="M480" s="4" t="s">
        <v>563</v>
      </c>
      <c r="N480" s="2" t="s">
        <v>567</v>
      </c>
      <c r="O480" s="2" t="s">
        <v>568</v>
      </c>
      <c r="P480" s="2" t="s">
        <v>573</v>
      </c>
      <c r="Q480" s="1" t="s">
        <v>211</v>
      </c>
      <c r="R480" s="2" t="s">
        <v>585</v>
      </c>
      <c r="S480" s="8">
        <f>B480+2</f>
        <v>40738</v>
      </c>
    </row>
    <row r="481" spans="1:19" x14ac:dyDescent="0.15">
      <c r="A481" s="1">
        <v>39232</v>
      </c>
      <c r="B481" s="6">
        <f>DATE(2012,12,31)-538</f>
        <v>40736</v>
      </c>
      <c r="C481" s="2" t="s">
        <v>916</v>
      </c>
      <c r="D481" s="1">
        <v>26</v>
      </c>
      <c r="E481" s="1">
        <v>1451.59</v>
      </c>
      <c r="F481" s="1">
        <v>0.06</v>
      </c>
      <c r="G481" s="2" t="s">
        <v>560</v>
      </c>
      <c r="H481" s="10">
        <v>435.11</v>
      </c>
      <c r="I481" s="7">
        <v>55.48</v>
      </c>
      <c r="J481" s="7">
        <v>14.3</v>
      </c>
      <c r="K481" s="2" t="s">
        <v>868</v>
      </c>
      <c r="L481" s="16" t="s">
        <v>919</v>
      </c>
      <c r="M481" s="4" t="s">
        <v>563</v>
      </c>
      <c r="N481" s="2" t="s">
        <v>567</v>
      </c>
      <c r="O481" s="2" t="s">
        <v>568</v>
      </c>
      <c r="P481" s="2" t="s">
        <v>573</v>
      </c>
      <c r="Q481" s="1" t="s">
        <v>682</v>
      </c>
      <c r="R481" s="2" t="s">
        <v>585</v>
      </c>
      <c r="S481" s="8">
        <f>B481+5</f>
        <v>40741</v>
      </c>
    </row>
    <row r="482" spans="1:19" x14ac:dyDescent="0.15">
      <c r="A482" s="1">
        <v>39617</v>
      </c>
      <c r="B482" s="6">
        <f>DATE(2012,12,31)-380</f>
        <v>40894</v>
      </c>
      <c r="C482" s="2" t="s">
        <v>915</v>
      </c>
      <c r="D482" s="1">
        <v>33</v>
      </c>
      <c r="E482" s="1">
        <v>1283.68</v>
      </c>
      <c r="F482" s="1">
        <v>0.08</v>
      </c>
      <c r="G482" s="2" t="s">
        <v>560</v>
      </c>
      <c r="H482" s="10">
        <v>202.47</v>
      </c>
      <c r="I482" s="7">
        <v>39.979999999999997</v>
      </c>
      <c r="J482" s="7">
        <v>9.1999999999999993</v>
      </c>
      <c r="K482" s="2" t="s">
        <v>824</v>
      </c>
      <c r="L482" s="16" t="s">
        <v>919</v>
      </c>
      <c r="M482" s="4" t="s">
        <v>563</v>
      </c>
      <c r="N482" s="2" t="s">
        <v>565</v>
      </c>
      <c r="O482" s="2" t="s">
        <v>570</v>
      </c>
      <c r="P482" s="2" t="s">
        <v>579</v>
      </c>
      <c r="Q482" s="1" t="s">
        <v>15</v>
      </c>
      <c r="R482" s="2" t="s">
        <v>584</v>
      </c>
      <c r="S482" s="8">
        <f>B482+2</f>
        <v>40896</v>
      </c>
    </row>
    <row r="483" spans="1:19" x14ac:dyDescent="0.15">
      <c r="A483" s="1">
        <v>39617</v>
      </c>
      <c r="B483" s="6">
        <f>DATE(2012,12,31)-380</f>
        <v>40894</v>
      </c>
      <c r="C483" s="2" t="s">
        <v>915</v>
      </c>
      <c r="D483" s="1">
        <v>28</v>
      </c>
      <c r="E483" s="1">
        <v>169.46</v>
      </c>
      <c r="F483" s="1">
        <v>0.02</v>
      </c>
      <c r="G483" s="2" t="s">
        <v>560</v>
      </c>
      <c r="H483" s="10">
        <v>34.24</v>
      </c>
      <c r="I483" s="7">
        <v>5.84</v>
      </c>
      <c r="J483" s="7">
        <v>1.2</v>
      </c>
      <c r="K483" s="2" t="s">
        <v>824</v>
      </c>
      <c r="L483" s="16" t="s">
        <v>919</v>
      </c>
      <c r="M483" s="4" t="s">
        <v>563</v>
      </c>
      <c r="N483" s="2" t="s">
        <v>565</v>
      </c>
      <c r="O483" s="2" t="s">
        <v>568</v>
      </c>
      <c r="P483" s="2" t="s">
        <v>571</v>
      </c>
      <c r="Q483" s="1" t="s">
        <v>32</v>
      </c>
      <c r="R483" s="2" t="s">
        <v>584</v>
      </c>
      <c r="S483" s="8">
        <f>B483+2</f>
        <v>40896</v>
      </c>
    </row>
    <row r="484" spans="1:19" x14ac:dyDescent="0.15">
      <c r="A484" s="1">
        <v>39649</v>
      </c>
      <c r="B484" s="6">
        <f>DATE(2012,12,31)-1169</f>
        <v>40105</v>
      </c>
      <c r="C484" s="2" t="s">
        <v>913</v>
      </c>
      <c r="D484" s="1">
        <v>10</v>
      </c>
      <c r="E484" s="1">
        <v>1351.653</v>
      </c>
      <c r="F484" s="1">
        <v>0.01</v>
      </c>
      <c r="G484" s="2" t="s">
        <v>561</v>
      </c>
      <c r="H484" s="10">
        <v>-202.851</v>
      </c>
      <c r="I484" s="7">
        <v>155.99</v>
      </c>
      <c r="J484" s="7">
        <v>8.99</v>
      </c>
      <c r="K484" s="2" t="s">
        <v>842</v>
      </c>
      <c r="L484" s="16" t="s">
        <v>919</v>
      </c>
      <c r="M484" s="4" t="s">
        <v>563</v>
      </c>
      <c r="N484" s="2" t="s">
        <v>567</v>
      </c>
      <c r="O484" s="2" t="s">
        <v>569</v>
      </c>
      <c r="P484" s="2" t="s">
        <v>87</v>
      </c>
      <c r="Q484" s="1" t="s">
        <v>603</v>
      </c>
      <c r="R484" s="2" t="s">
        <v>585</v>
      </c>
      <c r="S484" s="8">
        <f>B484+1</f>
        <v>40106</v>
      </c>
    </row>
    <row r="485" spans="1:19" x14ac:dyDescent="0.15">
      <c r="A485" s="1">
        <v>39649</v>
      </c>
      <c r="B485" s="6">
        <f>DATE(2012,12,31)-1169</f>
        <v>40105</v>
      </c>
      <c r="C485" s="2" t="s">
        <v>913</v>
      </c>
      <c r="D485" s="1">
        <v>9</v>
      </c>
      <c r="E485" s="1">
        <v>63</v>
      </c>
      <c r="F485" s="1">
        <v>0.01</v>
      </c>
      <c r="G485" s="2" t="s">
        <v>560</v>
      </c>
      <c r="H485" s="10">
        <v>-17.48</v>
      </c>
      <c r="I485" s="7">
        <v>5.98</v>
      </c>
      <c r="J485" s="7">
        <v>5.46</v>
      </c>
      <c r="K485" s="2" t="s">
        <v>842</v>
      </c>
      <c r="L485" s="16" t="s">
        <v>919</v>
      </c>
      <c r="M485" s="4" t="s">
        <v>563</v>
      </c>
      <c r="N485" s="2" t="s">
        <v>567</v>
      </c>
      <c r="O485" s="2" t="s">
        <v>568</v>
      </c>
      <c r="P485" s="2" t="s">
        <v>573</v>
      </c>
      <c r="Q485" s="1" t="s">
        <v>358</v>
      </c>
      <c r="R485" s="2" t="s">
        <v>585</v>
      </c>
      <c r="S485" s="8">
        <f>B485+2</f>
        <v>40107</v>
      </c>
    </row>
    <row r="486" spans="1:19" x14ac:dyDescent="0.15">
      <c r="A486" s="1">
        <v>39654</v>
      </c>
      <c r="B486" s="6">
        <f>DATE(2012,12,31)-92</f>
        <v>41182</v>
      </c>
      <c r="C486" s="2" t="s">
        <v>914</v>
      </c>
      <c r="D486" s="1">
        <v>39</v>
      </c>
      <c r="E486" s="1">
        <v>856.15</v>
      </c>
      <c r="F486" s="1">
        <v>0.03</v>
      </c>
      <c r="G486" s="2" t="s">
        <v>561</v>
      </c>
      <c r="H486" s="10">
        <v>330.02949999999998</v>
      </c>
      <c r="I486" s="7">
        <v>21.38</v>
      </c>
      <c r="J486" s="7">
        <v>2.99</v>
      </c>
      <c r="K486" s="2" t="s">
        <v>766</v>
      </c>
      <c r="L486" s="16" t="s">
        <v>919</v>
      </c>
      <c r="M486" s="4" t="s">
        <v>563</v>
      </c>
      <c r="N486" s="2" t="s">
        <v>567</v>
      </c>
      <c r="O486" s="2" t="s">
        <v>568</v>
      </c>
      <c r="P486" s="2" t="s">
        <v>88</v>
      </c>
      <c r="Q486" s="1" t="s">
        <v>521</v>
      </c>
      <c r="R486" s="2" t="s">
        <v>585</v>
      </c>
      <c r="S486" s="8">
        <f>B486+1</f>
        <v>41183</v>
      </c>
    </row>
    <row r="487" spans="1:19" x14ac:dyDescent="0.15">
      <c r="A487" s="1">
        <v>39808</v>
      </c>
      <c r="B487" s="6">
        <f>DATE(2012,12,31)-120</f>
        <v>41154</v>
      </c>
      <c r="C487" s="2" t="s">
        <v>916</v>
      </c>
      <c r="D487" s="1">
        <v>50</v>
      </c>
      <c r="E487" s="1">
        <v>2026.42</v>
      </c>
      <c r="F487" s="1">
        <v>0.03</v>
      </c>
      <c r="G487" s="2" t="s">
        <v>560</v>
      </c>
      <c r="H487" s="10">
        <v>655.36</v>
      </c>
      <c r="I487" s="7">
        <v>39.979999999999997</v>
      </c>
      <c r="J487" s="7">
        <v>9.83</v>
      </c>
      <c r="K487" s="2" t="s">
        <v>819</v>
      </c>
      <c r="L487" s="16" t="s">
        <v>919</v>
      </c>
      <c r="M487" s="4" t="s">
        <v>563</v>
      </c>
      <c r="N487" s="2" t="s">
        <v>567</v>
      </c>
      <c r="O487" s="2" t="s">
        <v>568</v>
      </c>
      <c r="P487" s="2" t="s">
        <v>575</v>
      </c>
      <c r="Q487" s="1" t="s">
        <v>736</v>
      </c>
      <c r="R487" s="2" t="s">
        <v>585</v>
      </c>
      <c r="S487" s="8">
        <f>B487+7</f>
        <v>41161</v>
      </c>
    </row>
    <row r="488" spans="1:19" x14ac:dyDescent="0.15">
      <c r="A488" s="1">
        <v>39808</v>
      </c>
      <c r="B488" s="6">
        <f>DATE(2012,12,31)-120</f>
        <v>41154</v>
      </c>
      <c r="C488" s="2" t="s">
        <v>916</v>
      </c>
      <c r="D488" s="1">
        <v>31</v>
      </c>
      <c r="E488" s="1">
        <v>3413.4555</v>
      </c>
      <c r="F488" s="1">
        <v>0.03</v>
      </c>
      <c r="G488" s="2" t="s">
        <v>560</v>
      </c>
      <c r="H488" s="10">
        <v>868.47299999999996</v>
      </c>
      <c r="I488" s="7">
        <v>125.99</v>
      </c>
      <c r="J488" s="7">
        <v>2.5</v>
      </c>
      <c r="K488" s="2" t="s">
        <v>819</v>
      </c>
      <c r="L488" s="16" t="s">
        <v>919</v>
      </c>
      <c r="M488" s="4" t="s">
        <v>563</v>
      </c>
      <c r="N488" s="2" t="s">
        <v>567</v>
      </c>
      <c r="O488" s="2" t="s">
        <v>569</v>
      </c>
      <c r="P488" s="2" t="s">
        <v>87</v>
      </c>
      <c r="Q488" s="1" t="s">
        <v>422</v>
      </c>
      <c r="R488" s="2" t="s">
        <v>585</v>
      </c>
      <c r="S488" s="8">
        <f>B488+4</f>
        <v>41158</v>
      </c>
    </row>
    <row r="489" spans="1:19" x14ac:dyDescent="0.15">
      <c r="A489" s="1">
        <v>39841</v>
      </c>
      <c r="B489" s="6">
        <f>DATE(2012,12,31)-1095</f>
        <v>40179</v>
      </c>
      <c r="C489" s="2" t="s">
        <v>914</v>
      </c>
      <c r="D489" s="1">
        <v>43</v>
      </c>
      <c r="E489" s="1">
        <v>294.13</v>
      </c>
      <c r="F489" s="1">
        <v>0.01</v>
      </c>
      <c r="G489" s="2" t="s">
        <v>560</v>
      </c>
      <c r="H489" s="10">
        <v>-123.07</v>
      </c>
      <c r="I489" s="7">
        <v>6.68</v>
      </c>
      <c r="J489" s="7">
        <v>6.92</v>
      </c>
      <c r="K489" s="2" t="s">
        <v>811</v>
      </c>
      <c r="L489" s="16" t="s">
        <v>919</v>
      </c>
      <c r="M489" s="4" t="s">
        <v>563</v>
      </c>
      <c r="N489" s="2" t="s">
        <v>565</v>
      </c>
      <c r="O489" s="2" t="s">
        <v>568</v>
      </c>
      <c r="P489" s="2" t="s">
        <v>573</v>
      </c>
      <c r="Q489" s="1" t="s">
        <v>604</v>
      </c>
      <c r="R489" s="2" t="s">
        <v>585</v>
      </c>
      <c r="S489" s="8">
        <f>B489+2</f>
        <v>40181</v>
      </c>
    </row>
    <row r="490" spans="1:19" x14ac:dyDescent="0.15">
      <c r="A490" s="1">
        <v>39847</v>
      </c>
      <c r="B490" s="6">
        <f>DATE(2012,12,31)-1002</f>
        <v>40272</v>
      </c>
      <c r="C490" s="2" t="s">
        <v>915</v>
      </c>
      <c r="D490" s="1">
        <v>29</v>
      </c>
      <c r="E490" s="1">
        <v>125.41</v>
      </c>
      <c r="F490" s="1">
        <v>0.08</v>
      </c>
      <c r="G490" s="2" t="s">
        <v>560</v>
      </c>
      <c r="H490" s="10">
        <v>-127.006</v>
      </c>
      <c r="I490" s="7">
        <v>4.38</v>
      </c>
      <c r="J490" s="7">
        <v>6.21</v>
      </c>
      <c r="K490" s="2" t="s">
        <v>125</v>
      </c>
      <c r="L490" s="16" t="s">
        <v>919</v>
      </c>
      <c r="M490" s="4" t="s">
        <v>563</v>
      </c>
      <c r="N490" s="2" t="s">
        <v>564</v>
      </c>
      <c r="O490" s="2" t="s">
        <v>568</v>
      </c>
      <c r="P490" s="2" t="s">
        <v>88</v>
      </c>
      <c r="Q490" s="1" t="s">
        <v>641</v>
      </c>
      <c r="R490" s="2" t="s">
        <v>585</v>
      </c>
      <c r="S490" s="8">
        <f>B490+1</f>
        <v>40273</v>
      </c>
    </row>
    <row r="491" spans="1:19" x14ac:dyDescent="0.15">
      <c r="A491" s="1">
        <v>39847</v>
      </c>
      <c r="B491" s="6">
        <f>DATE(2012,12,31)-1002</f>
        <v>40272</v>
      </c>
      <c r="C491" s="2" t="s">
        <v>915</v>
      </c>
      <c r="D491" s="1">
        <v>49</v>
      </c>
      <c r="E491" s="1">
        <v>3170.52</v>
      </c>
      <c r="F491" s="1">
        <v>0.08</v>
      </c>
      <c r="G491" s="2" t="s">
        <v>560</v>
      </c>
      <c r="H491" s="10">
        <v>379.11</v>
      </c>
      <c r="I491" s="7">
        <v>64.98</v>
      </c>
      <c r="J491" s="7">
        <v>6.88</v>
      </c>
      <c r="K491" s="2" t="s">
        <v>125</v>
      </c>
      <c r="L491" s="16" t="s">
        <v>919</v>
      </c>
      <c r="M491" s="4" t="s">
        <v>563</v>
      </c>
      <c r="N491" s="2" t="s">
        <v>564</v>
      </c>
      <c r="O491" s="2" t="s">
        <v>568</v>
      </c>
      <c r="P491" s="2" t="s">
        <v>577</v>
      </c>
      <c r="Q491" s="1" t="s">
        <v>132</v>
      </c>
      <c r="R491" s="2" t="s">
        <v>585</v>
      </c>
      <c r="S491" s="8">
        <f>B491+1</f>
        <v>40273</v>
      </c>
    </row>
    <row r="492" spans="1:19" x14ac:dyDescent="0.15">
      <c r="A492" s="1">
        <v>39847</v>
      </c>
      <c r="B492" s="6">
        <f>DATE(2012,12,31)-1002</f>
        <v>40272</v>
      </c>
      <c r="C492" s="2" t="s">
        <v>915</v>
      </c>
      <c r="D492" s="1">
        <v>20</v>
      </c>
      <c r="E492" s="1">
        <v>2488.4769999999999</v>
      </c>
      <c r="F492" s="1">
        <v>0.08</v>
      </c>
      <c r="G492" s="2" t="s">
        <v>560</v>
      </c>
      <c r="H492" s="10">
        <v>142.55099999999999</v>
      </c>
      <c r="I492" s="7">
        <v>155.99</v>
      </c>
      <c r="J492" s="7">
        <v>8.99</v>
      </c>
      <c r="K492" s="2" t="s">
        <v>125</v>
      </c>
      <c r="L492" s="16" t="s">
        <v>919</v>
      </c>
      <c r="M492" s="4" t="s">
        <v>563</v>
      </c>
      <c r="N492" s="2" t="s">
        <v>564</v>
      </c>
      <c r="O492" s="2" t="s">
        <v>569</v>
      </c>
      <c r="P492" s="2" t="s">
        <v>87</v>
      </c>
      <c r="Q492" s="1" t="s">
        <v>603</v>
      </c>
      <c r="R492" s="2" t="s">
        <v>585</v>
      </c>
      <c r="S492" s="8">
        <f>B492+2</f>
        <v>40274</v>
      </c>
    </row>
    <row r="493" spans="1:19" x14ac:dyDescent="0.15">
      <c r="A493" s="1">
        <v>39907</v>
      </c>
      <c r="B493" s="6">
        <f>DATE(2012,12,31)-855</f>
        <v>40419</v>
      </c>
      <c r="C493" s="2" t="s">
        <v>916</v>
      </c>
      <c r="D493" s="1">
        <v>12</v>
      </c>
      <c r="E493" s="1">
        <v>378.84</v>
      </c>
      <c r="F493" s="1">
        <v>0.05</v>
      </c>
      <c r="G493" s="2" t="s">
        <v>560</v>
      </c>
      <c r="H493" s="10">
        <v>-99.38</v>
      </c>
      <c r="I493" s="7">
        <v>30.73</v>
      </c>
      <c r="J493" s="7">
        <v>4</v>
      </c>
      <c r="K493" s="2" t="s">
        <v>125</v>
      </c>
      <c r="L493" s="16" t="s">
        <v>919</v>
      </c>
      <c r="M493" s="4" t="s">
        <v>563</v>
      </c>
      <c r="N493" s="2" t="s">
        <v>564</v>
      </c>
      <c r="O493" s="2" t="s">
        <v>569</v>
      </c>
      <c r="P493" s="2" t="s">
        <v>572</v>
      </c>
      <c r="Q493" s="1" t="s">
        <v>400</v>
      </c>
      <c r="R493" s="2" t="s">
        <v>585</v>
      </c>
      <c r="S493" s="8">
        <f>B493+9</f>
        <v>40428</v>
      </c>
    </row>
    <row r="494" spans="1:19" x14ac:dyDescent="0.15">
      <c r="A494" s="1">
        <v>40068</v>
      </c>
      <c r="B494" s="6">
        <f>DATE(2012,12,31)-986</f>
        <v>40288</v>
      </c>
      <c r="C494" s="2" t="s">
        <v>916</v>
      </c>
      <c r="D494" s="1">
        <v>1</v>
      </c>
      <c r="E494" s="1">
        <v>200.38</v>
      </c>
      <c r="F494" s="1">
        <v>0.02</v>
      </c>
      <c r="G494" s="2" t="s">
        <v>562</v>
      </c>
      <c r="H494" s="10">
        <v>-90.41</v>
      </c>
      <c r="I494" s="7">
        <v>160.97999999999999</v>
      </c>
      <c r="J494" s="7">
        <v>30</v>
      </c>
      <c r="K494" s="2" t="s">
        <v>125</v>
      </c>
      <c r="L494" s="16" t="s">
        <v>919</v>
      </c>
      <c r="M494" s="4" t="s">
        <v>563</v>
      </c>
      <c r="N494" s="2" t="s">
        <v>564</v>
      </c>
      <c r="O494" s="2" t="s">
        <v>570</v>
      </c>
      <c r="P494" s="2" t="s">
        <v>574</v>
      </c>
      <c r="Q494" s="1" t="s">
        <v>482</v>
      </c>
      <c r="R494" s="2" t="s">
        <v>586</v>
      </c>
      <c r="S494" s="8">
        <f>B494+2</f>
        <v>40290</v>
      </c>
    </row>
    <row r="495" spans="1:19" x14ac:dyDescent="0.15">
      <c r="A495" s="1">
        <v>40068</v>
      </c>
      <c r="B495" s="6">
        <f>DATE(2012,12,31)-986</f>
        <v>40288</v>
      </c>
      <c r="C495" s="2" t="s">
        <v>916</v>
      </c>
      <c r="D495" s="1">
        <v>2</v>
      </c>
      <c r="E495" s="1">
        <v>128.52000000000001</v>
      </c>
      <c r="F495" s="1">
        <v>0.1</v>
      </c>
      <c r="G495" s="2" t="s">
        <v>560</v>
      </c>
      <c r="H495" s="10">
        <v>-110.07</v>
      </c>
      <c r="I495" s="7">
        <v>64.98</v>
      </c>
      <c r="J495" s="7">
        <v>6.88</v>
      </c>
      <c r="K495" s="2" t="s">
        <v>125</v>
      </c>
      <c r="L495" s="16" t="s">
        <v>919</v>
      </c>
      <c r="M495" s="4" t="s">
        <v>563</v>
      </c>
      <c r="N495" s="2" t="s">
        <v>564</v>
      </c>
      <c r="O495" s="2" t="s">
        <v>568</v>
      </c>
      <c r="P495" s="2" t="s">
        <v>577</v>
      </c>
      <c r="Q495" s="1" t="s">
        <v>132</v>
      </c>
      <c r="R495" s="2" t="s">
        <v>585</v>
      </c>
      <c r="S495" s="8">
        <f>B495+4</f>
        <v>40292</v>
      </c>
    </row>
    <row r="496" spans="1:19" x14ac:dyDescent="0.15">
      <c r="A496" s="1">
        <v>40068</v>
      </c>
      <c r="B496" s="6">
        <f>DATE(2012,12,31)-986</f>
        <v>40288</v>
      </c>
      <c r="C496" s="2" t="s">
        <v>916</v>
      </c>
      <c r="D496" s="1">
        <v>24</v>
      </c>
      <c r="E496" s="1">
        <v>6717.7839999999997</v>
      </c>
      <c r="F496" s="1">
        <v>0</v>
      </c>
      <c r="G496" s="2" t="s">
        <v>562</v>
      </c>
      <c r="H496" s="10">
        <v>1903.1</v>
      </c>
      <c r="I496" s="7">
        <v>348.21</v>
      </c>
      <c r="J496" s="7">
        <v>40.19</v>
      </c>
      <c r="K496" s="2" t="s">
        <v>125</v>
      </c>
      <c r="L496" s="16" t="s">
        <v>919</v>
      </c>
      <c r="M496" s="4" t="s">
        <v>563</v>
      </c>
      <c r="N496" s="2" t="s">
        <v>564</v>
      </c>
      <c r="O496" s="2" t="s">
        <v>570</v>
      </c>
      <c r="P496" s="2" t="s">
        <v>578</v>
      </c>
      <c r="Q496" s="1" t="s">
        <v>282</v>
      </c>
      <c r="R496" s="2" t="s">
        <v>588</v>
      </c>
      <c r="S496" s="8">
        <f>B496+0</f>
        <v>40288</v>
      </c>
    </row>
    <row r="497" spans="1:19" x14ac:dyDescent="0.15">
      <c r="A497" s="1">
        <v>40420</v>
      </c>
      <c r="B497" s="6">
        <f>DATE(2012,12,31)-721</f>
        <v>40553</v>
      </c>
      <c r="C497" s="2" t="s">
        <v>913</v>
      </c>
      <c r="D497" s="1">
        <v>22</v>
      </c>
      <c r="E497" s="1">
        <v>59.08</v>
      </c>
      <c r="F497" s="1">
        <v>0.1</v>
      </c>
      <c r="G497" s="2" t="s">
        <v>560</v>
      </c>
      <c r="H497" s="10">
        <v>-2.6105</v>
      </c>
      <c r="I497" s="7">
        <v>2.88</v>
      </c>
      <c r="J497" s="7">
        <v>1.49</v>
      </c>
      <c r="K497" s="2" t="s">
        <v>873</v>
      </c>
      <c r="L497" s="16" t="s">
        <v>919</v>
      </c>
      <c r="M497" s="4" t="s">
        <v>563</v>
      </c>
      <c r="N497" s="2" t="s">
        <v>567</v>
      </c>
      <c r="O497" s="2" t="s">
        <v>568</v>
      </c>
      <c r="P497" s="2" t="s">
        <v>88</v>
      </c>
      <c r="Q497" s="1" t="s">
        <v>553</v>
      </c>
      <c r="R497" s="2" t="s">
        <v>585</v>
      </c>
      <c r="S497" s="8">
        <f>B497+2</f>
        <v>40555</v>
      </c>
    </row>
    <row r="498" spans="1:19" x14ac:dyDescent="0.15">
      <c r="A498" s="1">
        <v>40420</v>
      </c>
      <c r="B498" s="6">
        <f>DATE(2012,12,31)-721</f>
        <v>40553</v>
      </c>
      <c r="C498" s="2" t="s">
        <v>913</v>
      </c>
      <c r="D498" s="1">
        <v>50</v>
      </c>
      <c r="E498" s="1">
        <v>886.36299999999994</v>
      </c>
      <c r="F498" s="1">
        <v>0.08</v>
      </c>
      <c r="G498" s="2" t="s">
        <v>560</v>
      </c>
      <c r="H498" s="10">
        <v>450.01799999999997</v>
      </c>
      <c r="I498" s="7">
        <v>20.99</v>
      </c>
      <c r="J498" s="7">
        <v>0.99</v>
      </c>
      <c r="K498" s="2" t="s">
        <v>873</v>
      </c>
      <c r="L498" s="16" t="s">
        <v>919</v>
      </c>
      <c r="M498" s="4" t="s">
        <v>563</v>
      </c>
      <c r="N498" s="2" t="s">
        <v>567</v>
      </c>
      <c r="O498" s="2" t="s">
        <v>569</v>
      </c>
      <c r="P498" s="2" t="s">
        <v>87</v>
      </c>
      <c r="Q498" s="1" t="s">
        <v>399</v>
      </c>
      <c r="R498" s="2" t="s">
        <v>584</v>
      </c>
      <c r="S498" s="8">
        <f>B498+2</f>
        <v>40555</v>
      </c>
    </row>
    <row r="499" spans="1:19" x14ac:dyDescent="0.15">
      <c r="A499" s="1">
        <v>40485</v>
      </c>
      <c r="B499" s="6">
        <f>DATE(2012,12,31)-1100</f>
        <v>40174</v>
      </c>
      <c r="C499" s="2" t="s">
        <v>915</v>
      </c>
      <c r="D499" s="1">
        <v>36</v>
      </c>
      <c r="E499" s="1">
        <v>222.25</v>
      </c>
      <c r="F499" s="1">
        <v>0.05</v>
      </c>
      <c r="G499" s="2" t="s">
        <v>560</v>
      </c>
      <c r="H499" s="10">
        <v>-63.77</v>
      </c>
      <c r="I499" s="7">
        <v>5.98</v>
      </c>
      <c r="J499" s="7">
        <v>5.46</v>
      </c>
      <c r="K499" s="2" t="s">
        <v>906</v>
      </c>
      <c r="L499" s="16" t="s">
        <v>919</v>
      </c>
      <c r="M499" s="4" t="s">
        <v>563</v>
      </c>
      <c r="N499" s="2" t="s">
        <v>567</v>
      </c>
      <c r="O499" s="2" t="s">
        <v>568</v>
      </c>
      <c r="P499" s="2" t="s">
        <v>573</v>
      </c>
      <c r="Q499" s="1" t="s">
        <v>358</v>
      </c>
      <c r="R499" s="2" t="s">
        <v>585</v>
      </c>
      <c r="S499" s="8">
        <f>B499+0</f>
        <v>40174</v>
      </c>
    </row>
    <row r="500" spans="1:19" x14ac:dyDescent="0.15">
      <c r="A500" s="1">
        <v>40485</v>
      </c>
      <c r="B500" s="6">
        <f>DATE(2012,12,31)-1100</f>
        <v>40174</v>
      </c>
      <c r="C500" s="2" t="s">
        <v>915</v>
      </c>
      <c r="D500" s="1">
        <v>7</v>
      </c>
      <c r="E500" s="1">
        <v>388.71350000000001</v>
      </c>
      <c r="F500" s="1">
        <v>0.01</v>
      </c>
      <c r="G500" s="2" t="s">
        <v>560</v>
      </c>
      <c r="H500" s="10">
        <v>-190.42100000000002</v>
      </c>
      <c r="I500" s="7">
        <v>65.989999999999995</v>
      </c>
      <c r="J500" s="7">
        <v>3.99</v>
      </c>
      <c r="K500" s="2" t="s">
        <v>906</v>
      </c>
      <c r="L500" s="16" t="s">
        <v>919</v>
      </c>
      <c r="M500" s="4" t="s">
        <v>563</v>
      </c>
      <c r="N500" s="2" t="s">
        <v>567</v>
      </c>
      <c r="O500" s="2" t="s">
        <v>569</v>
      </c>
      <c r="P500" s="2" t="s">
        <v>87</v>
      </c>
      <c r="Q500" s="1" t="s">
        <v>168</v>
      </c>
      <c r="R500" s="2" t="s">
        <v>585</v>
      </c>
      <c r="S500" s="8">
        <f>B500+1</f>
        <v>40175</v>
      </c>
    </row>
    <row r="501" spans="1:19" x14ac:dyDescent="0.15">
      <c r="A501" s="1">
        <v>40998</v>
      </c>
      <c r="B501" s="6">
        <f>DATE(2012,12,31)-1339</f>
        <v>39935</v>
      </c>
      <c r="C501" s="2" t="s">
        <v>914</v>
      </c>
      <c r="D501" s="1">
        <v>43</v>
      </c>
      <c r="E501" s="1">
        <v>1233.22</v>
      </c>
      <c r="F501" s="1">
        <v>0.05</v>
      </c>
      <c r="G501" s="2" t="s">
        <v>560</v>
      </c>
      <c r="H501" s="10">
        <v>385.46</v>
      </c>
      <c r="I501" s="7">
        <v>29.89</v>
      </c>
      <c r="J501" s="7">
        <v>1.99</v>
      </c>
      <c r="K501" s="2" t="s">
        <v>862</v>
      </c>
      <c r="L501" s="16" t="s">
        <v>919</v>
      </c>
      <c r="M501" s="4" t="s">
        <v>563</v>
      </c>
      <c r="N501" s="2" t="s">
        <v>565</v>
      </c>
      <c r="O501" s="2" t="s">
        <v>569</v>
      </c>
      <c r="P501" s="2" t="s">
        <v>572</v>
      </c>
      <c r="Q501" s="1" t="s">
        <v>154</v>
      </c>
      <c r="R501" s="2" t="s">
        <v>587</v>
      </c>
      <c r="S501" s="8">
        <f>B501+1</f>
        <v>39936</v>
      </c>
    </row>
    <row r="502" spans="1:19" x14ac:dyDescent="0.15">
      <c r="A502" s="1">
        <v>40998</v>
      </c>
      <c r="B502" s="6">
        <f>DATE(2012,12,31)-1339</f>
        <v>39935</v>
      </c>
      <c r="C502" s="2" t="s">
        <v>914</v>
      </c>
      <c r="D502" s="1">
        <v>39</v>
      </c>
      <c r="E502" s="1">
        <v>144.82</v>
      </c>
      <c r="F502" s="1">
        <v>0.08</v>
      </c>
      <c r="G502" s="2" t="s">
        <v>560</v>
      </c>
      <c r="H502" s="10">
        <v>28.4</v>
      </c>
      <c r="I502" s="7">
        <v>4</v>
      </c>
      <c r="J502" s="7">
        <v>1.3</v>
      </c>
      <c r="K502" s="2" t="s">
        <v>862</v>
      </c>
      <c r="L502" s="16" t="s">
        <v>919</v>
      </c>
      <c r="M502" s="4" t="s">
        <v>563</v>
      </c>
      <c r="N502" s="2" t="s">
        <v>565</v>
      </c>
      <c r="O502" s="2" t="s">
        <v>568</v>
      </c>
      <c r="P502" s="2" t="s">
        <v>573</v>
      </c>
      <c r="Q502" s="1" t="s">
        <v>592</v>
      </c>
      <c r="R502" s="2" t="s">
        <v>584</v>
      </c>
      <c r="S502" s="8">
        <f>B502+2</f>
        <v>39937</v>
      </c>
    </row>
    <row r="503" spans="1:19" x14ac:dyDescent="0.15">
      <c r="A503" s="1">
        <v>41091</v>
      </c>
      <c r="B503" s="6">
        <f>DATE(2012,12,31)-1317</f>
        <v>39957</v>
      </c>
      <c r="C503" s="2" t="s">
        <v>914</v>
      </c>
      <c r="D503" s="1">
        <v>32</v>
      </c>
      <c r="E503" s="1">
        <v>6310.69</v>
      </c>
      <c r="F503" s="1">
        <v>0.1</v>
      </c>
      <c r="G503" s="2" t="s">
        <v>561</v>
      </c>
      <c r="H503" s="10">
        <v>1318.83</v>
      </c>
      <c r="I503" s="7">
        <v>218.08</v>
      </c>
      <c r="J503" s="7">
        <v>18.059999999999999</v>
      </c>
      <c r="K503" s="2" t="s">
        <v>800</v>
      </c>
      <c r="L503" s="16" t="s">
        <v>919</v>
      </c>
      <c r="M503" s="4" t="s">
        <v>563</v>
      </c>
      <c r="N503" s="2" t="s">
        <v>566</v>
      </c>
      <c r="O503" s="2" t="s">
        <v>570</v>
      </c>
      <c r="P503" s="2" t="s">
        <v>574</v>
      </c>
      <c r="Q503" s="1" t="s">
        <v>644</v>
      </c>
      <c r="R503" s="2" t="s">
        <v>590</v>
      </c>
      <c r="S503" s="8">
        <f>B503+1</f>
        <v>39958</v>
      </c>
    </row>
    <row r="504" spans="1:19" x14ac:dyDescent="0.15">
      <c r="A504" s="1">
        <v>41152</v>
      </c>
      <c r="B504" s="6">
        <f>DATE(2012,12,31)-485</f>
        <v>40789</v>
      </c>
      <c r="C504" s="2" t="s">
        <v>913</v>
      </c>
      <c r="D504" s="1">
        <v>49</v>
      </c>
      <c r="E504" s="1">
        <v>3702.92</v>
      </c>
      <c r="F504" s="1">
        <v>0.03</v>
      </c>
      <c r="G504" s="2" t="s">
        <v>560</v>
      </c>
      <c r="H504" s="10">
        <v>541.91999999999996</v>
      </c>
      <c r="I504" s="7">
        <v>76.72</v>
      </c>
      <c r="J504" s="7">
        <v>19.95</v>
      </c>
      <c r="K504" s="2" t="s">
        <v>825</v>
      </c>
      <c r="L504" s="16" t="s">
        <v>919</v>
      </c>
      <c r="M504" s="4" t="s">
        <v>563</v>
      </c>
      <c r="N504" s="2" t="s">
        <v>567</v>
      </c>
      <c r="O504" s="2" t="s">
        <v>568</v>
      </c>
      <c r="P504" s="2" t="s">
        <v>576</v>
      </c>
      <c r="Q504" s="1" t="s">
        <v>645</v>
      </c>
      <c r="R504" s="2" t="s">
        <v>590</v>
      </c>
      <c r="S504" s="8">
        <f>B504+1</f>
        <v>40790</v>
      </c>
    </row>
    <row r="505" spans="1:19" x14ac:dyDescent="0.15">
      <c r="A505" s="1">
        <v>41152</v>
      </c>
      <c r="B505" s="6">
        <f>DATE(2012,12,31)-485</f>
        <v>40789</v>
      </c>
      <c r="C505" s="2" t="s">
        <v>913</v>
      </c>
      <c r="D505" s="1">
        <v>29</v>
      </c>
      <c r="E505" s="1">
        <v>53.99</v>
      </c>
      <c r="F505" s="1">
        <v>0.1</v>
      </c>
      <c r="G505" s="2" t="s">
        <v>560</v>
      </c>
      <c r="H505" s="10">
        <v>-15.1225</v>
      </c>
      <c r="I505" s="7">
        <v>1.88</v>
      </c>
      <c r="J505" s="7">
        <v>1.49</v>
      </c>
      <c r="K505" s="2" t="s">
        <v>825</v>
      </c>
      <c r="L505" s="16" t="s">
        <v>919</v>
      </c>
      <c r="M505" s="4" t="s">
        <v>563</v>
      </c>
      <c r="N505" s="2" t="s">
        <v>567</v>
      </c>
      <c r="O505" s="2" t="s">
        <v>568</v>
      </c>
      <c r="P505" s="2" t="s">
        <v>88</v>
      </c>
      <c r="Q505" s="1" t="s">
        <v>479</v>
      </c>
      <c r="R505" s="2" t="s">
        <v>585</v>
      </c>
      <c r="S505" s="8">
        <f>B505+2</f>
        <v>40791</v>
      </c>
    </row>
    <row r="506" spans="1:19" x14ac:dyDescent="0.15">
      <c r="A506" s="1">
        <v>41157</v>
      </c>
      <c r="B506" s="6">
        <f>DATE(2012,12,31)-625</f>
        <v>40649</v>
      </c>
      <c r="C506" s="2" t="s">
        <v>914</v>
      </c>
      <c r="D506" s="1">
        <v>39</v>
      </c>
      <c r="E506" s="1">
        <v>3854.4</v>
      </c>
      <c r="F506" s="1">
        <v>0.09</v>
      </c>
      <c r="G506" s="2" t="s">
        <v>560</v>
      </c>
      <c r="H506" s="10">
        <v>1116.98</v>
      </c>
      <c r="I506" s="7">
        <v>107.53</v>
      </c>
      <c r="J506" s="7">
        <v>5.81</v>
      </c>
      <c r="K506" s="2" t="s">
        <v>805</v>
      </c>
      <c r="L506" s="16" t="s">
        <v>919</v>
      </c>
      <c r="M506" s="4" t="s">
        <v>563</v>
      </c>
      <c r="N506" s="2" t="s">
        <v>564</v>
      </c>
      <c r="O506" s="2" t="s">
        <v>570</v>
      </c>
      <c r="P506" s="2" t="s">
        <v>579</v>
      </c>
      <c r="Q506" s="1" t="s">
        <v>228</v>
      </c>
      <c r="R506" s="2" t="s">
        <v>589</v>
      </c>
      <c r="S506" s="8">
        <f>B506+2</f>
        <v>40651</v>
      </c>
    </row>
    <row r="507" spans="1:19" x14ac:dyDescent="0.15">
      <c r="A507" s="1">
        <v>41349</v>
      </c>
      <c r="B507" s="6">
        <f>DATE(2012,12,31)-380</f>
        <v>40894</v>
      </c>
      <c r="C507" s="2" t="s">
        <v>917</v>
      </c>
      <c r="D507" s="1">
        <v>44</v>
      </c>
      <c r="E507" s="1">
        <v>346.2</v>
      </c>
      <c r="F507" s="1">
        <v>0</v>
      </c>
      <c r="G507" s="2" t="s">
        <v>561</v>
      </c>
      <c r="H507" s="10">
        <v>-335.685</v>
      </c>
      <c r="I507" s="7">
        <v>7.38</v>
      </c>
      <c r="J507" s="7">
        <v>11.51</v>
      </c>
      <c r="K507" s="2" t="s">
        <v>125</v>
      </c>
      <c r="L507" s="16" t="s">
        <v>919</v>
      </c>
      <c r="M507" s="4" t="s">
        <v>563</v>
      </c>
      <c r="N507" s="2" t="s">
        <v>564</v>
      </c>
      <c r="O507" s="2" t="s">
        <v>568</v>
      </c>
      <c r="P507" s="2" t="s">
        <v>88</v>
      </c>
      <c r="Q507" s="1" t="s">
        <v>504</v>
      </c>
      <c r="R507" s="2" t="s">
        <v>585</v>
      </c>
      <c r="S507" s="8">
        <f>B507+1</f>
        <v>40895</v>
      </c>
    </row>
    <row r="508" spans="1:19" x14ac:dyDescent="0.15">
      <c r="A508" s="1">
        <v>41349</v>
      </c>
      <c r="B508" s="6">
        <f>DATE(2012,12,31)-380</f>
        <v>40894</v>
      </c>
      <c r="C508" s="2" t="s">
        <v>917</v>
      </c>
      <c r="D508" s="1">
        <v>4</v>
      </c>
      <c r="E508" s="1">
        <v>85.96</v>
      </c>
      <c r="F508" s="1">
        <v>0.08</v>
      </c>
      <c r="G508" s="2" t="s">
        <v>561</v>
      </c>
      <c r="H508" s="10">
        <v>-7.48</v>
      </c>
      <c r="I508" s="7">
        <v>20.239999999999998</v>
      </c>
      <c r="J508" s="7">
        <v>8.99</v>
      </c>
      <c r="K508" s="2" t="s">
        <v>125</v>
      </c>
      <c r="L508" s="16" t="s">
        <v>919</v>
      </c>
      <c r="M508" s="4" t="s">
        <v>563</v>
      </c>
      <c r="N508" s="2" t="s">
        <v>564</v>
      </c>
      <c r="O508" s="2" t="s">
        <v>570</v>
      </c>
      <c r="P508" s="2" t="s">
        <v>579</v>
      </c>
      <c r="Q508" s="1" t="s">
        <v>307</v>
      </c>
      <c r="R508" s="2" t="s">
        <v>587</v>
      </c>
      <c r="S508" s="8">
        <f>B508+2</f>
        <v>40896</v>
      </c>
    </row>
    <row r="509" spans="1:19" x14ac:dyDescent="0.15">
      <c r="A509" s="1">
        <v>41349</v>
      </c>
      <c r="B509" s="6">
        <f>DATE(2012,12,31)-380</f>
        <v>40894</v>
      </c>
      <c r="C509" s="2" t="s">
        <v>917</v>
      </c>
      <c r="D509" s="1">
        <v>39</v>
      </c>
      <c r="E509" s="1">
        <v>475.52</v>
      </c>
      <c r="F509" s="1">
        <v>7.0000000000000007E-2</v>
      </c>
      <c r="G509" s="2" t="s">
        <v>560</v>
      </c>
      <c r="H509" s="10">
        <v>-70.430000000000007</v>
      </c>
      <c r="I509" s="7">
        <v>12.44</v>
      </c>
      <c r="J509" s="7">
        <v>6.27</v>
      </c>
      <c r="K509" s="2" t="s">
        <v>125</v>
      </c>
      <c r="L509" s="16" t="s">
        <v>919</v>
      </c>
      <c r="M509" s="4" t="s">
        <v>563</v>
      </c>
      <c r="N509" s="2" t="s">
        <v>564</v>
      </c>
      <c r="O509" s="2" t="s">
        <v>568</v>
      </c>
      <c r="P509" s="2" t="s">
        <v>577</v>
      </c>
      <c r="Q509" s="1" t="s">
        <v>226</v>
      </c>
      <c r="R509" s="2" t="s">
        <v>589</v>
      </c>
      <c r="S509" s="8">
        <f>B509+2</f>
        <v>40896</v>
      </c>
    </row>
    <row r="510" spans="1:19" x14ac:dyDescent="0.15">
      <c r="A510" s="1">
        <v>41440</v>
      </c>
      <c r="B510" s="6">
        <f>DATE(2012,12,31)-1196</f>
        <v>40078</v>
      </c>
      <c r="C510" s="2" t="s">
        <v>913</v>
      </c>
      <c r="D510" s="1">
        <v>20</v>
      </c>
      <c r="E510" s="1">
        <v>92.94</v>
      </c>
      <c r="F510" s="1">
        <v>0.09</v>
      </c>
      <c r="G510" s="2" t="s">
        <v>560</v>
      </c>
      <c r="H510" s="10">
        <v>37.770000000000003</v>
      </c>
      <c r="I510" s="7">
        <v>4.91</v>
      </c>
      <c r="J510" s="7">
        <v>0.5</v>
      </c>
      <c r="K510" s="2" t="s">
        <v>762</v>
      </c>
      <c r="L510" s="16" t="s">
        <v>919</v>
      </c>
      <c r="M510" s="4" t="s">
        <v>563</v>
      </c>
      <c r="N510" s="2" t="s">
        <v>567</v>
      </c>
      <c r="O510" s="2" t="s">
        <v>568</v>
      </c>
      <c r="P510" s="2" t="s">
        <v>582</v>
      </c>
      <c r="Q510" s="1" t="s">
        <v>505</v>
      </c>
      <c r="R510" s="2" t="s">
        <v>585</v>
      </c>
      <c r="S510" s="8">
        <f>B510+1</f>
        <v>40079</v>
      </c>
    </row>
    <row r="511" spans="1:19" x14ac:dyDescent="0.15">
      <c r="A511" s="1">
        <v>41440</v>
      </c>
      <c r="B511" s="6">
        <f>DATE(2012,12,31)-1196</f>
        <v>40078</v>
      </c>
      <c r="C511" s="2" t="s">
        <v>913</v>
      </c>
      <c r="D511" s="1">
        <v>19</v>
      </c>
      <c r="E511" s="1">
        <v>6070.96</v>
      </c>
      <c r="F511" s="1">
        <v>0.01</v>
      </c>
      <c r="G511" s="2" t="s">
        <v>562</v>
      </c>
      <c r="H511" s="10">
        <v>173.48</v>
      </c>
      <c r="I511" s="7">
        <v>296.18</v>
      </c>
      <c r="J511" s="7">
        <v>54.12</v>
      </c>
      <c r="K511" s="2" t="s">
        <v>762</v>
      </c>
      <c r="L511" s="16" t="s">
        <v>919</v>
      </c>
      <c r="M511" s="4" t="s">
        <v>563</v>
      </c>
      <c r="N511" s="2" t="s">
        <v>567</v>
      </c>
      <c r="O511" s="2" t="s">
        <v>570</v>
      </c>
      <c r="P511" s="2" t="s">
        <v>578</v>
      </c>
      <c r="Q511" s="1" t="s">
        <v>360</v>
      </c>
      <c r="R511" s="2" t="s">
        <v>588</v>
      </c>
      <c r="S511" s="8">
        <f>B511+3</f>
        <v>40081</v>
      </c>
    </row>
    <row r="512" spans="1:19" x14ac:dyDescent="0.15">
      <c r="A512" s="1">
        <v>41539</v>
      </c>
      <c r="B512" s="6">
        <f>DATE(2012,12,31)-608</f>
        <v>40666</v>
      </c>
      <c r="C512" s="2" t="s">
        <v>913</v>
      </c>
      <c r="D512" s="1">
        <v>24</v>
      </c>
      <c r="E512" s="1">
        <v>41.85</v>
      </c>
      <c r="F512" s="1">
        <v>0.04</v>
      </c>
      <c r="G512" s="2" t="s">
        <v>561</v>
      </c>
      <c r="H512" s="10">
        <v>-8.44</v>
      </c>
      <c r="I512" s="7">
        <v>1.6</v>
      </c>
      <c r="J512" s="7">
        <v>1.29</v>
      </c>
      <c r="K512" s="2" t="s">
        <v>776</v>
      </c>
      <c r="L512" s="16" t="s">
        <v>919</v>
      </c>
      <c r="M512" s="4" t="s">
        <v>563</v>
      </c>
      <c r="N512" s="2" t="s">
        <v>566</v>
      </c>
      <c r="O512" s="2" t="s">
        <v>568</v>
      </c>
      <c r="P512" s="2" t="s">
        <v>571</v>
      </c>
      <c r="Q512" s="1" t="s">
        <v>45</v>
      </c>
      <c r="R512" s="2" t="s">
        <v>584</v>
      </c>
      <c r="S512" s="8">
        <f>B512+2</f>
        <v>40668</v>
      </c>
    </row>
    <row r="513" spans="1:19" x14ac:dyDescent="0.15">
      <c r="A513" s="1">
        <v>41539</v>
      </c>
      <c r="B513" s="6">
        <f>DATE(2012,12,31)-608</f>
        <v>40666</v>
      </c>
      <c r="C513" s="2" t="s">
        <v>913</v>
      </c>
      <c r="D513" s="1">
        <v>41</v>
      </c>
      <c r="E513" s="1">
        <v>2303.7125000000001</v>
      </c>
      <c r="F513" s="1">
        <v>0.04</v>
      </c>
      <c r="G513" s="2" t="s">
        <v>560</v>
      </c>
      <c r="H513" s="10">
        <v>398.22300000000001</v>
      </c>
      <c r="I513" s="7">
        <v>65.989999999999995</v>
      </c>
      <c r="J513" s="7">
        <v>8.99</v>
      </c>
      <c r="K513" s="2" t="s">
        <v>776</v>
      </c>
      <c r="L513" s="16" t="s">
        <v>919</v>
      </c>
      <c r="M513" s="4" t="s">
        <v>563</v>
      </c>
      <c r="N513" s="2" t="s">
        <v>566</v>
      </c>
      <c r="O513" s="2" t="s">
        <v>569</v>
      </c>
      <c r="P513" s="2" t="s">
        <v>87</v>
      </c>
      <c r="Q513" s="1" t="s">
        <v>287</v>
      </c>
      <c r="R513" s="2" t="s">
        <v>585</v>
      </c>
      <c r="S513" s="8">
        <f>B513+1</f>
        <v>40667</v>
      </c>
    </row>
    <row r="514" spans="1:19" x14ac:dyDescent="0.15">
      <c r="A514" s="1">
        <v>41574</v>
      </c>
      <c r="B514" s="6">
        <f>DATE(2012,12,31)-833</f>
        <v>40441</v>
      </c>
      <c r="C514" s="2" t="s">
        <v>913</v>
      </c>
      <c r="D514" s="1">
        <v>23</v>
      </c>
      <c r="E514" s="1">
        <v>283.82</v>
      </c>
      <c r="F514" s="1">
        <v>0.01</v>
      </c>
      <c r="G514" s="2" t="s">
        <v>560</v>
      </c>
      <c r="H514" s="10">
        <v>-38.94</v>
      </c>
      <c r="I514" s="7">
        <v>11.97</v>
      </c>
      <c r="J514" s="7">
        <v>5.81</v>
      </c>
      <c r="K514" s="2" t="s">
        <v>819</v>
      </c>
      <c r="L514" s="16" t="s">
        <v>919</v>
      </c>
      <c r="M514" s="4" t="s">
        <v>563</v>
      </c>
      <c r="N514" s="2" t="s">
        <v>567</v>
      </c>
      <c r="O514" s="2" t="s">
        <v>568</v>
      </c>
      <c r="P514" s="2" t="s">
        <v>571</v>
      </c>
      <c r="Q514" s="1" t="s">
        <v>163</v>
      </c>
      <c r="R514" s="2" t="s">
        <v>587</v>
      </c>
      <c r="S514" s="8">
        <f>B514+2</f>
        <v>40443</v>
      </c>
    </row>
    <row r="515" spans="1:19" x14ac:dyDescent="0.15">
      <c r="A515" s="1">
        <v>41831</v>
      </c>
      <c r="B515" s="6">
        <f>DATE(2012,12,31)-163</f>
        <v>41111</v>
      </c>
      <c r="C515" s="2" t="s">
        <v>915</v>
      </c>
      <c r="D515" s="1">
        <v>43</v>
      </c>
      <c r="E515" s="1">
        <v>3441.09</v>
      </c>
      <c r="F515" s="1">
        <v>0.03</v>
      </c>
      <c r="G515" s="2" t="s">
        <v>562</v>
      </c>
      <c r="H515" s="10">
        <v>431.95</v>
      </c>
      <c r="I515" s="7">
        <v>80.97</v>
      </c>
      <c r="J515" s="7">
        <v>30.06</v>
      </c>
      <c r="K515" s="2" t="s">
        <v>899</v>
      </c>
      <c r="L515" s="16" t="s">
        <v>919</v>
      </c>
      <c r="M515" s="4" t="s">
        <v>563</v>
      </c>
      <c r="N515" s="2" t="s">
        <v>567</v>
      </c>
      <c r="O515" s="2" t="s">
        <v>569</v>
      </c>
      <c r="P515" s="2" t="s">
        <v>583</v>
      </c>
      <c r="Q515" s="1" t="s">
        <v>709</v>
      </c>
      <c r="R515" s="2" t="s">
        <v>588</v>
      </c>
      <c r="S515" s="8">
        <f>B515+2</f>
        <v>41113</v>
      </c>
    </row>
    <row r="516" spans="1:19" x14ac:dyDescent="0.15">
      <c r="A516" s="1">
        <v>41831</v>
      </c>
      <c r="B516" s="6">
        <f>DATE(2012,12,31)-163</f>
        <v>41111</v>
      </c>
      <c r="C516" s="2" t="s">
        <v>915</v>
      </c>
      <c r="D516" s="1">
        <v>38</v>
      </c>
      <c r="E516" s="1">
        <v>209.61</v>
      </c>
      <c r="F516" s="1">
        <v>0.05</v>
      </c>
      <c r="G516" s="2" t="s">
        <v>560</v>
      </c>
      <c r="H516" s="10">
        <v>-96.29</v>
      </c>
      <c r="I516" s="7">
        <v>5.28</v>
      </c>
      <c r="J516" s="7">
        <v>5.66</v>
      </c>
      <c r="K516" s="2" t="s">
        <v>899</v>
      </c>
      <c r="L516" s="16" t="s">
        <v>919</v>
      </c>
      <c r="M516" s="4" t="s">
        <v>563</v>
      </c>
      <c r="N516" s="2" t="s">
        <v>567</v>
      </c>
      <c r="O516" s="2" t="s">
        <v>568</v>
      </c>
      <c r="P516" s="2" t="s">
        <v>573</v>
      </c>
      <c r="Q516" s="1" t="s">
        <v>253</v>
      </c>
      <c r="R516" s="2" t="s">
        <v>585</v>
      </c>
      <c r="S516" s="8">
        <f>B516+1</f>
        <v>41112</v>
      </c>
    </row>
    <row r="517" spans="1:19" x14ac:dyDescent="0.15">
      <c r="A517" s="1">
        <v>41888</v>
      </c>
      <c r="B517" s="6">
        <f>DATE(2012,12,31)-1402</f>
        <v>39872</v>
      </c>
      <c r="C517" s="2" t="s">
        <v>916</v>
      </c>
      <c r="D517" s="1">
        <v>18</v>
      </c>
      <c r="E517" s="1">
        <v>1979.47</v>
      </c>
      <c r="F517" s="1">
        <v>0.1</v>
      </c>
      <c r="G517" s="2" t="s">
        <v>560</v>
      </c>
      <c r="H517" s="10">
        <v>690.26800000000003</v>
      </c>
      <c r="I517" s="7">
        <v>120.98</v>
      </c>
      <c r="J517" s="7">
        <v>9.07</v>
      </c>
      <c r="K517" s="2" t="s">
        <v>848</v>
      </c>
      <c r="L517" s="16" t="s">
        <v>919</v>
      </c>
      <c r="M517" s="4" t="s">
        <v>563</v>
      </c>
      <c r="N517" s="2" t="s">
        <v>567</v>
      </c>
      <c r="O517" s="2" t="s">
        <v>568</v>
      </c>
      <c r="P517" s="2" t="s">
        <v>88</v>
      </c>
      <c r="Q517" s="1" t="s">
        <v>61</v>
      </c>
      <c r="R517" s="2" t="s">
        <v>585</v>
      </c>
      <c r="S517" s="8">
        <f>B517+9</f>
        <v>39881</v>
      </c>
    </row>
    <row r="518" spans="1:19" x14ac:dyDescent="0.15">
      <c r="A518" s="1">
        <v>41888</v>
      </c>
      <c r="B518" s="6">
        <f>DATE(2012,12,31)-1402</f>
        <v>39872</v>
      </c>
      <c r="C518" s="2" t="s">
        <v>916</v>
      </c>
      <c r="D518" s="1">
        <v>23</v>
      </c>
      <c r="E518" s="1">
        <v>187.8</v>
      </c>
      <c r="F518" s="1">
        <v>0.08</v>
      </c>
      <c r="G518" s="2" t="s">
        <v>561</v>
      </c>
      <c r="H518" s="10">
        <v>-41.83</v>
      </c>
      <c r="I518" s="7">
        <v>8.32</v>
      </c>
      <c r="J518" s="7">
        <v>2.38</v>
      </c>
      <c r="K518" s="2" t="s">
        <v>848</v>
      </c>
      <c r="L518" s="16" t="s">
        <v>919</v>
      </c>
      <c r="M518" s="4" t="s">
        <v>563</v>
      </c>
      <c r="N518" s="2" t="s">
        <v>567</v>
      </c>
      <c r="O518" s="2" t="s">
        <v>569</v>
      </c>
      <c r="P518" s="2" t="s">
        <v>572</v>
      </c>
      <c r="Q518" s="1" t="s">
        <v>172</v>
      </c>
      <c r="R518" s="2" t="s">
        <v>587</v>
      </c>
      <c r="S518" s="8">
        <f>B518+4</f>
        <v>39876</v>
      </c>
    </row>
    <row r="519" spans="1:19" x14ac:dyDescent="0.15">
      <c r="A519" s="1">
        <v>41888</v>
      </c>
      <c r="B519" s="6">
        <f>DATE(2012,12,31)-1402</f>
        <v>39872</v>
      </c>
      <c r="C519" s="2" t="s">
        <v>916</v>
      </c>
      <c r="D519" s="1">
        <v>29</v>
      </c>
      <c r="E519" s="1">
        <v>2823.0369999999998</v>
      </c>
      <c r="F519" s="1">
        <v>0.1</v>
      </c>
      <c r="G519" s="2" t="s">
        <v>560</v>
      </c>
      <c r="H519" s="10">
        <v>372.40199999999999</v>
      </c>
      <c r="I519" s="7">
        <v>125.99</v>
      </c>
      <c r="J519" s="7">
        <v>4.2</v>
      </c>
      <c r="K519" s="2" t="s">
        <v>848</v>
      </c>
      <c r="L519" s="16" t="s">
        <v>919</v>
      </c>
      <c r="M519" s="4" t="s">
        <v>563</v>
      </c>
      <c r="N519" s="2" t="s">
        <v>567</v>
      </c>
      <c r="O519" s="2" t="s">
        <v>569</v>
      </c>
      <c r="P519" s="2" t="s">
        <v>87</v>
      </c>
      <c r="Q519" s="1" t="s">
        <v>351</v>
      </c>
      <c r="R519" s="2" t="s">
        <v>585</v>
      </c>
      <c r="S519" s="8">
        <f>B519+0</f>
        <v>39872</v>
      </c>
    </row>
    <row r="520" spans="1:19" x14ac:dyDescent="0.15">
      <c r="A520" s="1">
        <v>42054</v>
      </c>
      <c r="B520" s="6">
        <f>DATE(2012,12,31)-108</f>
        <v>41166</v>
      </c>
      <c r="C520" s="2" t="s">
        <v>914</v>
      </c>
      <c r="D520" s="1">
        <v>32</v>
      </c>
      <c r="E520" s="1">
        <v>94.55</v>
      </c>
      <c r="F520" s="1">
        <v>0.01</v>
      </c>
      <c r="G520" s="2" t="s">
        <v>560</v>
      </c>
      <c r="H520" s="10">
        <v>6.7404999999999999</v>
      </c>
      <c r="I520" s="7">
        <v>2.88</v>
      </c>
      <c r="J520" s="7">
        <v>1.49</v>
      </c>
      <c r="K520" s="2" t="s">
        <v>763</v>
      </c>
      <c r="L520" s="16" t="s">
        <v>919</v>
      </c>
      <c r="M520" s="4" t="s">
        <v>563</v>
      </c>
      <c r="N520" s="2" t="s">
        <v>566</v>
      </c>
      <c r="O520" s="2" t="s">
        <v>568</v>
      </c>
      <c r="P520" s="2" t="s">
        <v>88</v>
      </c>
      <c r="Q520" s="1" t="s">
        <v>553</v>
      </c>
      <c r="R520" s="2" t="s">
        <v>585</v>
      </c>
      <c r="S520" s="8">
        <f>B520+2</f>
        <v>41168</v>
      </c>
    </row>
    <row r="521" spans="1:19" x14ac:dyDescent="0.15">
      <c r="A521" s="1">
        <v>42148</v>
      </c>
      <c r="B521" s="6">
        <f>DATE(2012,12,31)-438</f>
        <v>40836</v>
      </c>
      <c r="C521" s="2" t="s">
        <v>917</v>
      </c>
      <c r="D521" s="1">
        <v>11</v>
      </c>
      <c r="E521" s="1">
        <v>45.31</v>
      </c>
      <c r="F521" s="1">
        <v>7.0000000000000007E-2</v>
      </c>
      <c r="G521" s="2" t="s">
        <v>560</v>
      </c>
      <c r="H521" s="10">
        <v>-10.64</v>
      </c>
      <c r="I521" s="7">
        <v>3.98</v>
      </c>
      <c r="J521" s="7">
        <v>2.97</v>
      </c>
      <c r="K521" s="2" t="s">
        <v>873</v>
      </c>
      <c r="L521" s="16" t="s">
        <v>919</v>
      </c>
      <c r="M521" s="4" t="s">
        <v>563</v>
      </c>
      <c r="N521" s="2" t="s">
        <v>567</v>
      </c>
      <c r="O521" s="2" t="s">
        <v>568</v>
      </c>
      <c r="P521" s="2" t="s">
        <v>573</v>
      </c>
      <c r="Q521" s="1" t="s">
        <v>183</v>
      </c>
      <c r="R521" s="2" t="s">
        <v>584</v>
      </c>
      <c r="S521" s="8">
        <f>B521+3</f>
        <v>40839</v>
      </c>
    </row>
    <row r="522" spans="1:19" x14ac:dyDescent="0.15">
      <c r="A522" s="1">
        <v>42306</v>
      </c>
      <c r="B522" s="6">
        <f>DATE(2012,12,31)-108</f>
        <v>41166</v>
      </c>
      <c r="C522" s="2" t="s">
        <v>913</v>
      </c>
      <c r="D522" s="1">
        <v>4</v>
      </c>
      <c r="E522" s="1">
        <v>36.46</v>
      </c>
      <c r="F522" s="1">
        <v>0.1</v>
      </c>
      <c r="G522" s="2" t="s">
        <v>560</v>
      </c>
      <c r="H522" s="10">
        <v>-7.4060000000000006</v>
      </c>
      <c r="I522" s="7">
        <v>8.69</v>
      </c>
      <c r="J522" s="7">
        <v>2.99</v>
      </c>
      <c r="K522" s="2" t="s">
        <v>881</v>
      </c>
      <c r="L522" s="16" t="s">
        <v>919</v>
      </c>
      <c r="M522" s="4" t="s">
        <v>563</v>
      </c>
      <c r="N522" s="2" t="s">
        <v>566</v>
      </c>
      <c r="O522" s="2" t="s">
        <v>568</v>
      </c>
      <c r="P522" s="2" t="s">
        <v>88</v>
      </c>
      <c r="Q522" s="1" t="s">
        <v>552</v>
      </c>
      <c r="R522" s="2" t="s">
        <v>585</v>
      </c>
      <c r="S522" s="8">
        <f>B522+2</f>
        <v>41168</v>
      </c>
    </row>
    <row r="523" spans="1:19" x14ac:dyDescent="0.15">
      <c r="A523" s="1">
        <v>42338</v>
      </c>
      <c r="B523" s="6">
        <f>DATE(2012,12,31)-1155</f>
        <v>40119</v>
      </c>
      <c r="C523" s="2" t="s">
        <v>915</v>
      </c>
      <c r="D523" s="1">
        <v>14</v>
      </c>
      <c r="E523" s="1">
        <v>63.91</v>
      </c>
      <c r="F523" s="1">
        <v>0.04</v>
      </c>
      <c r="G523" s="2" t="s">
        <v>560</v>
      </c>
      <c r="H523" s="10">
        <v>-44.47</v>
      </c>
      <c r="I523" s="7">
        <v>4.1399999999999997</v>
      </c>
      <c r="J523" s="7">
        <v>6.6</v>
      </c>
      <c r="K523" s="2" t="s">
        <v>868</v>
      </c>
      <c r="L523" s="16" t="s">
        <v>919</v>
      </c>
      <c r="M523" s="4" t="s">
        <v>563</v>
      </c>
      <c r="N523" s="2" t="s">
        <v>567</v>
      </c>
      <c r="O523" s="2" t="s">
        <v>570</v>
      </c>
      <c r="P523" s="2" t="s">
        <v>579</v>
      </c>
      <c r="Q523" s="1" t="s">
        <v>330</v>
      </c>
      <c r="R523" s="2" t="s">
        <v>585</v>
      </c>
      <c r="S523" s="8">
        <f>B523+2</f>
        <v>40121</v>
      </c>
    </row>
    <row r="524" spans="1:19" x14ac:dyDescent="0.15">
      <c r="A524" s="1">
        <v>42338</v>
      </c>
      <c r="B524" s="6">
        <f>DATE(2012,12,31)-1155</f>
        <v>40119</v>
      </c>
      <c r="C524" s="2" t="s">
        <v>915</v>
      </c>
      <c r="D524" s="1">
        <v>32</v>
      </c>
      <c r="E524" s="1">
        <v>1909.0064999999997</v>
      </c>
      <c r="F524" s="1">
        <v>0.01</v>
      </c>
      <c r="G524" s="2" t="s">
        <v>560</v>
      </c>
      <c r="H524" s="10">
        <v>344.13299999999998</v>
      </c>
      <c r="I524" s="7">
        <v>65.989999999999995</v>
      </c>
      <c r="J524" s="7">
        <v>8.99</v>
      </c>
      <c r="K524" s="2" t="s">
        <v>868</v>
      </c>
      <c r="L524" s="16" t="s">
        <v>919</v>
      </c>
      <c r="M524" s="4" t="s">
        <v>563</v>
      </c>
      <c r="N524" s="2" t="s">
        <v>567</v>
      </c>
      <c r="O524" s="2" t="s">
        <v>569</v>
      </c>
      <c r="P524" s="2" t="s">
        <v>87</v>
      </c>
      <c r="Q524" s="1" t="s">
        <v>649</v>
      </c>
      <c r="R524" s="2" t="s">
        <v>585</v>
      </c>
      <c r="S524" s="8">
        <f>B524+2</f>
        <v>40121</v>
      </c>
    </row>
    <row r="525" spans="1:19" x14ac:dyDescent="0.15">
      <c r="A525" s="1">
        <v>42343</v>
      </c>
      <c r="B525" s="6">
        <f>DATE(2012,12,31)-1235</f>
        <v>40039</v>
      </c>
      <c r="C525" s="2" t="s">
        <v>917</v>
      </c>
      <c r="D525" s="1">
        <v>46</v>
      </c>
      <c r="E525" s="1">
        <v>3412.08</v>
      </c>
      <c r="F525" s="1">
        <v>0.04</v>
      </c>
      <c r="G525" s="2" t="s">
        <v>562</v>
      </c>
      <c r="H525" s="10">
        <v>239.23</v>
      </c>
      <c r="I525" s="7">
        <v>70.98</v>
      </c>
      <c r="J525" s="7">
        <v>26.85</v>
      </c>
      <c r="K525" s="2" t="s">
        <v>846</v>
      </c>
      <c r="L525" s="16" t="s">
        <v>919</v>
      </c>
      <c r="M525" s="4" t="s">
        <v>563</v>
      </c>
      <c r="N525" s="2" t="s">
        <v>567</v>
      </c>
      <c r="O525" s="2" t="s">
        <v>570</v>
      </c>
      <c r="P525" s="2" t="s">
        <v>581</v>
      </c>
      <c r="Q525" s="1" t="s">
        <v>52</v>
      </c>
      <c r="R525" s="2" t="s">
        <v>588</v>
      </c>
      <c r="S525" s="8">
        <f>B525+2</f>
        <v>40041</v>
      </c>
    </row>
    <row r="526" spans="1:19" x14ac:dyDescent="0.15">
      <c r="A526" s="1">
        <v>42343</v>
      </c>
      <c r="B526" s="6">
        <f>DATE(2012,12,31)-1235</f>
        <v>40039</v>
      </c>
      <c r="C526" s="2" t="s">
        <v>917</v>
      </c>
      <c r="D526" s="1">
        <v>31</v>
      </c>
      <c r="E526" s="1">
        <v>1311.68</v>
      </c>
      <c r="F526" s="1">
        <v>0.03</v>
      </c>
      <c r="G526" s="2" t="s">
        <v>560</v>
      </c>
      <c r="H526" s="10">
        <v>230.37</v>
      </c>
      <c r="I526" s="7">
        <v>40.99</v>
      </c>
      <c r="J526" s="7">
        <v>17.48</v>
      </c>
      <c r="K526" s="2" t="s">
        <v>846</v>
      </c>
      <c r="L526" s="16" t="s">
        <v>919</v>
      </c>
      <c r="M526" s="4" t="s">
        <v>563</v>
      </c>
      <c r="N526" s="2" t="s">
        <v>567</v>
      </c>
      <c r="O526" s="2" t="s">
        <v>568</v>
      </c>
      <c r="P526" s="2" t="s">
        <v>573</v>
      </c>
      <c r="Q526" s="1" t="s">
        <v>119</v>
      </c>
      <c r="R526" s="2" t="s">
        <v>585</v>
      </c>
      <c r="S526" s="8">
        <f>B526+1</f>
        <v>40040</v>
      </c>
    </row>
    <row r="527" spans="1:19" x14ac:dyDescent="0.15">
      <c r="A527" s="1">
        <v>42467</v>
      </c>
      <c r="B527" s="6">
        <f>DATE(2012,12,31)-809</f>
        <v>40465</v>
      </c>
      <c r="C527" s="2" t="s">
        <v>913</v>
      </c>
      <c r="D527" s="1">
        <v>10</v>
      </c>
      <c r="E527" s="1">
        <v>238.88</v>
      </c>
      <c r="F527" s="1">
        <v>0.01</v>
      </c>
      <c r="G527" s="2" t="s">
        <v>560</v>
      </c>
      <c r="H527" s="10">
        <v>-48.207999999999998</v>
      </c>
      <c r="I527" s="7">
        <v>22.38</v>
      </c>
      <c r="J527" s="7">
        <v>15.1</v>
      </c>
      <c r="K527" s="2" t="s">
        <v>760</v>
      </c>
      <c r="L527" s="16" t="s">
        <v>919</v>
      </c>
      <c r="M527" s="4" t="s">
        <v>563</v>
      </c>
      <c r="N527" s="2" t="s">
        <v>564</v>
      </c>
      <c r="O527" s="2" t="s">
        <v>568</v>
      </c>
      <c r="P527" s="2" t="s">
        <v>88</v>
      </c>
      <c r="Q527" s="1" t="s">
        <v>41</v>
      </c>
      <c r="R527" s="2" t="s">
        <v>585</v>
      </c>
      <c r="S527" s="8">
        <f>B527+0</f>
        <v>40465</v>
      </c>
    </row>
    <row r="528" spans="1:19" x14ac:dyDescent="0.15">
      <c r="A528" s="1">
        <v>42467</v>
      </c>
      <c r="B528" s="6">
        <f>DATE(2012,12,31)-809</f>
        <v>40465</v>
      </c>
      <c r="C528" s="2" t="s">
        <v>913</v>
      </c>
      <c r="D528" s="1">
        <v>39</v>
      </c>
      <c r="E528" s="1">
        <v>1235.29</v>
      </c>
      <c r="F528" s="1">
        <v>0</v>
      </c>
      <c r="G528" s="2" t="s">
        <v>561</v>
      </c>
      <c r="H528" s="10">
        <v>53.63</v>
      </c>
      <c r="I528" s="7">
        <v>30.98</v>
      </c>
      <c r="J528" s="7">
        <v>6.5</v>
      </c>
      <c r="K528" s="2" t="s">
        <v>760</v>
      </c>
      <c r="L528" s="16" t="s">
        <v>919</v>
      </c>
      <c r="M528" s="4" t="s">
        <v>563</v>
      </c>
      <c r="N528" s="2" t="s">
        <v>564</v>
      </c>
      <c r="O528" s="2" t="s">
        <v>569</v>
      </c>
      <c r="P528" s="2" t="s">
        <v>572</v>
      </c>
      <c r="Q528" s="1" t="s">
        <v>538</v>
      </c>
      <c r="R528" s="2" t="s">
        <v>585</v>
      </c>
      <c r="S528" s="8">
        <f>B528+2</f>
        <v>40467</v>
      </c>
    </row>
    <row r="529" spans="1:19" x14ac:dyDescent="0.15">
      <c r="A529" s="1">
        <v>42467</v>
      </c>
      <c r="B529" s="6">
        <f>DATE(2012,12,31)-809</f>
        <v>40465</v>
      </c>
      <c r="C529" s="2" t="s">
        <v>913</v>
      </c>
      <c r="D529" s="1">
        <v>12</v>
      </c>
      <c r="E529" s="1">
        <v>1928.3269999999998</v>
      </c>
      <c r="F529" s="1">
        <v>0.09</v>
      </c>
      <c r="G529" s="2" t="s">
        <v>560</v>
      </c>
      <c r="H529" s="10">
        <v>-253.374</v>
      </c>
      <c r="I529" s="7">
        <v>195.99</v>
      </c>
      <c r="J529" s="7">
        <v>8.99</v>
      </c>
      <c r="K529" s="2" t="s">
        <v>760</v>
      </c>
      <c r="L529" s="16" t="s">
        <v>919</v>
      </c>
      <c r="M529" s="4" t="s">
        <v>563</v>
      </c>
      <c r="N529" s="2" t="s">
        <v>564</v>
      </c>
      <c r="O529" s="2" t="s">
        <v>569</v>
      </c>
      <c r="P529" s="2" t="s">
        <v>87</v>
      </c>
      <c r="Q529" s="1" t="s">
        <v>200</v>
      </c>
      <c r="R529" s="2" t="s">
        <v>585</v>
      </c>
      <c r="S529" s="8">
        <f>B529+2</f>
        <v>40467</v>
      </c>
    </row>
    <row r="530" spans="1:19" x14ac:dyDescent="0.15">
      <c r="A530" s="1">
        <v>42529</v>
      </c>
      <c r="B530" s="6">
        <f>DATE(2012,12,31)-813</f>
        <v>40461</v>
      </c>
      <c r="C530" s="2" t="s">
        <v>916</v>
      </c>
      <c r="D530" s="1">
        <v>8</v>
      </c>
      <c r="E530" s="1">
        <v>57.15</v>
      </c>
      <c r="F530" s="1">
        <v>0.03</v>
      </c>
      <c r="G530" s="2" t="s">
        <v>560</v>
      </c>
      <c r="H530" s="10">
        <v>-33.950000000000003</v>
      </c>
      <c r="I530" s="7">
        <v>5.98</v>
      </c>
      <c r="J530" s="7">
        <v>7.5</v>
      </c>
      <c r="K530" s="2" t="s">
        <v>789</v>
      </c>
      <c r="L530" s="16" t="s">
        <v>919</v>
      </c>
      <c r="M530" s="4" t="s">
        <v>563</v>
      </c>
      <c r="N530" s="2" t="s">
        <v>565</v>
      </c>
      <c r="O530" s="2" t="s">
        <v>568</v>
      </c>
      <c r="P530" s="2" t="s">
        <v>573</v>
      </c>
      <c r="Q530" s="1" t="s">
        <v>616</v>
      </c>
      <c r="R530" s="2" t="s">
        <v>585</v>
      </c>
      <c r="S530" s="8">
        <f>B530+5</f>
        <v>40466</v>
      </c>
    </row>
    <row r="531" spans="1:19" x14ac:dyDescent="0.15">
      <c r="A531" s="1">
        <v>42563</v>
      </c>
      <c r="B531" s="6">
        <f>DATE(2012,12,31)-872</f>
        <v>40402</v>
      </c>
      <c r="C531" s="2" t="s">
        <v>914</v>
      </c>
      <c r="D531" s="1">
        <v>7</v>
      </c>
      <c r="E531" s="1">
        <v>44.25</v>
      </c>
      <c r="F531" s="1">
        <v>7.0000000000000007E-2</v>
      </c>
      <c r="G531" s="2" t="s">
        <v>561</v>
      </c>
      <c r="H531" s="10">
        <v>-14.3635</v>
      </c>
      <c r="I531" s="7">
        <v>4.24</v>
      </c>
      <c r="J531" s="7">
        <v>5.41</v>
      </c>
      <c r="K531" s="2" t="s">
        <v>873</v>
      </c>
      <c r="L531" s="16" t="s">
        <v>919</v>
      </c>
      <c r="M531" s="4" t="s">
        <v>563</v>
      </c>
      <c r="N531" s="2" t="s">
        <v>567</v>
      </c>
      <c r="O531" s="2" t="s">
        <v>568</v>
      </c>
      <c r="P531" s="2" t="s">
        <v>88</v>
      </c>
      <c r="Q531" s="1" t="s">
        <v>491</v>
      </c>
      <c r="R531" s="2" t="s">
        <v>585</v>
      </c>
      <c r="S531" s="8">
        <f>B531+0</f>
        <v>40402</v>
      </c>
    </row>
    <row r="532" spans="1:19" x14ac:dyDescent="0.15">
      <c r="A532" s="1">
        <v>42567</v>
      </c>
      <c r="B532" s="6">
        <f>DATE(2012,12,31)-1085</f>
        <v>40189</v>
      </c>
      <c r="C532" s="2" t="s">
        <v>917</v>
      </c>
      <c r="D532" s="1">
        <v>12</v>
      </c>
      <c r="E532" s="1">
        <v>1940.32</v>
      </c>
      <c r="F532" s="1">
        <v>0</v>
      </c>
      <c r="G532" s="2" t="s">
        <v>562</v>
      </c>
      <c r="H532" s="10">
        <v>-18.809999999999999</v>
      </c>
      <c r="I532" s="7">
        <v>146.34</v>
      </c>
      <c r="J532" s="7">
        <v>43.75</v>
      </c>
      <c r="K532" s="2" t="s">
        <v>822</v>
      </c>
      <c r="L532" s="16" t="s">
        <v>919</v>
      </c>
      <c r="M532" s="4" t="s">
        <v>563</v>
      </c>
      <c r="N532" s="2" t="s">
        <v>565</v>
      </c>
      <c r="O532" s="2" t="s">
        <v>570</v>
      </c>
      <c r="P532" s="2" t="s">
        <v>578</v>
      </c>
      <c r="Q532" s="1" t="s">
        <v>713</v>
      </c>
      <c r="R532" s="2" t="s">
        <v>588</v>
      </c>
      <c r="S532" s="8">
        <f>B532+2</f>
        <v>40191</v>
      </c>
    </row>
    <row r="533" spans="1:19" x14ac:dyDescent="0.15">
      <c r="A533" s="1">
        <v>42691</v>
      </c>
      <c r="B533" s="6">
        <f>DATE(2012,12,31)-952</f>
        <v>40322</v>
      </c>
      <c r="C533" s="2" t="s">
        <v>916</v>
      </c>
      <c r="D533" s="1">
        <v>50</v>
      </c>
      <c r="E533" s="1">
        <v>2447.65</v>
      </c>
      <c r="F533" s="1">
        <v>0</v>
      </c>
      <c r="G533" s="2" t="s">
        <v>560</v>
      </c>
      <c r="H533" s="10">
        <v>1170.3499999999999</v>
      </c>
      <c r="I533" s="7">
        <v>46.94</v>
      </c>
      <c r="J533" s="7">
        <v>6.77</v>
      </c>
      <c r="K533" s="2" t="s">
        <v>500</v>
      </c>
      <c r="L533" s="16" t="s">
        <v>919</v>
      </c>
      <c r="M533" s="4" t="s">
        <v>563</v>
      </c>
      <c r="N533" s="2" t="s">
        <v>564</v>
      </c>
      <c r="O533" s="2" t="s">
        <v>570</v>
      </c>
      <c r="P533" s="2" t="s">
        <v>579</v>
      </c>
      <c r="Q533" s="1" t="s">
        <v>717</v>
      </c>
      <c r="R533" s="2" t="s">
        <v>585</v>
      </c>
      <c r="S533" s="8">
        <f>B533+9</f>
        <v>40331</v>
      </c>
    </row>
    <row r="534" spans="1:19" x14ac:dyDescent="0.15">
      <c r="A534" s="1">
        <v>42691</v>
      </c>
      <c r="B534" s="6">
        <f>DATE(2012,12,31)-952</f>
        <v>40322</v>
      </c>
      <c r="C534" s="2" t="s">
        <v>916</v>
      </c>
      <c r="D534" s="1">
        <v>7</v>
      </c>
      <c r="E534" s="1">
        <v>1069.6400000000001</v>
      </c>
      <c r="F534" s="1">
        <v>0.09</v>
      </c>
      <c r="G534" s="2" t="s">
        <v>560</v>
      </c>
      <c r="H534" s="10">
        <v>-139.75</v>
      </c>
      <c r="I534" s="7">
        <v>161.55000000000001</v>
      </c>
      <c r="J534" s="7">
        <v>19.989999999999998</v>
      </c>
      <c r="K534" s="2" t="s">
        <v>500</v>
      </c>
      <c r="L534" s="16" t="s">
        <v>919</v>
      </c>
      <c r="M534" s="4" t="s">
        <v>563</v>
      </c>
      <c r="N534" s="2" t="s">
        <v>564</v>
      </c>
      <c r="O534" s="2" t="s">
        <v>568</v>
      </c>
      <c r="P534" s="2" t="s">
        <v>577</v>
      </c>
      <c r="Q534" s="1" t="s">
        <v>8</v>
      </c>
      <c r="R534" s="2" t="s">
        <v>585</v>
      </c>
      <c r="S534" s="8">
        <f>B534+4</f>
        <v>40326</v>
      </c>
    </row>
    <row r="535" spans="1:19" x14ac:dyDescent="0.15">
      <c r="A535" s="1">
        <v>42919</v>
      </c>
      <c r="B535" s="6">
        <f>DATE(2012,12,31)-452</f>
        <v>40822</v>
      </c>
      <c r="C535" s="2" t="s">
        <v>914</v>
      </c>
      <c r="D535" s="1">
        <v>7</v>
      </c>
      <c r="E535" s="1">
        <v>1143.4285</v>
      </c>
      <c r="F535" s="1">
        <v>0.04</v>
      </c>
      <c r="G535" s="2" t="s">
        <v>561</v>
      </c>
      <c r="H535" s="10">
        <v>-475.66200000000003</v>
      </c>
      <c r="I535" s="7">
        <v>195.99</v>
      </c>
      <c r="J535" s="7">
        <v>4.2</v>
      </c>
      <c r="K535" s="2" t="s">
        <v>906</v>
      </c>
      <c r="L535" s="16" t="s">
        <v>919</v>
      </c>
      <c r="M535" s="4" t="s">
        <v>563</v>
      </c>
      <c r="N535" s="2" t="s">
        <v>567</v>
      </c>
      <c r="O535" s="2" t="s">
        <v>569</v>
      </c>
      <c r="P535" s="2" t="s">
        <v>87</v>
      </c>
      <c r="Q535" s="1" t="s">
        <v>308</v>
      </c>
      <c r="R535" s="2" t="s">
        <v>585</v>
      </c>
      <c r="S535" s="8">
        <f>B535+1</f>
        <v>40823</v>
      </c>
    </row>
    <row r="536" spans="1:19" x14ac:dyDescent="0.15">
      <c r="A536" s="1">
        <v>43010</v>
      </c>
      <c r="B536" s="6">
        <f>DATE(2012,12,31)-83</f>
        <v>41191</v>
      </c>
      <c r="C536" s="2" t="s">
        <v>917</v>
      </c>
      <c r="D536" s="1">
        <v>40</v>
      </c>
      <c r="E536" s="1">
        <v>233.2</v>
      </c>
      <c r="F536" s="1">
        <v>0</v>
      </c>
      <c r="G536" s="2" t="s">
        <v>560</v>
      </c>
      <c r="H536" s="10">
        <v>74.83</v>
      </c>
      <c r="I536" s="7">
        <v>5.68</v>
      </c>
      <c r="J536" s="7">
        <v>1.46</v>
      </c>
      <c r="K536" s="2" t="s">
        <v>802</v>
      </c>
      <c r="L536" s="16" t="s">
        <v>919</v>
      </c>
      <c r="M536" s="4" t="s">
        <v>563</v>
      </c>
      <c r="N536" s="2" t="s">
        <v>564</v>
      </c>
      <c r="O536" s="2" t="s">
        <v>568</v>
      </c>
      <c r="P536" s="2" t="s">
        <v>573</v>
      </c>
      <c r="Q536" s="1" t="s">
        <v>4</v>
      </c>
      <c r="R536" s="2" t="s">
        <v>584</v>
      </c>
      <c r="S536" s="8">
        <f>B536+0</f>
        <v>41191</v>
      </c>
    </row>
    <row r="537" spans="1:19" x14ac:dyDescent="0.15">
      <c r="A537" s="1">
        <v>43010</v>
      </c>
      <c r="B537" s="6">
        <f>DATE(2012,12,31)-83</f>
        <v>41191</v>
      </c>
      <c r="C537" s="2" t="s">
        <v>917</v>
      </c>
      <c r="D537" s="1">
        <v>24</v>
      </c>
      <c r="E537" s="1">
        <v>245.53</v>
      </c>
      <c r="F537" s="1">
        <v>0.02</v>
      </c>
      <c r="G537" s="2" t="s">
        <v>560</v>
      </c>
      <c r="H537" s="10">
        <v>83.16</v>
      </c>
      <c r="I537" s="7">
        <v>10.14</v>
      </c>
      <c r="J537" s="7">
        <v>2.27</v>
      </c>
      <c r="K537" s="2" t="s">
        <v>802</v>
      </c>
      <c r="L537" s="16" t="s">
        <v>919</v>
      </c>
      <c r="M537" s="4" t="s">
        <v>563</v>
      </c>
      <c r="N537" s="2" t="s">
        <v>564</v>
      </c>
      <c r="O537" s="2" t="s">
        <v>568</v>
      </c>
      <c r="P537" s="2" t="s">
        <v>573</v>
      </c>
      <c r="Q537" s="1" t="s">
        <v>661</v>
      </c>
      <c r="R537" s="2" t="s">
        <v>584</v>
      </c>
      <c r="S537" s="8">
        <f>B537+2</f>
        <v>41193</v>
      </c>
    </row>
    <row r="538" spans="1:19" x14ac:dyDescent="0.15">
      <c r="A538" s="1">
        <v>43043</v>
      </c>
      <c r="B538" s="6">
        <f>DATE(2012,12,31)-261</f>
        <v>41013</v>
      </c>
      <c r="C538" s="2" t="s">
        <v>917</v>
      </c>
      <c r="D538" s="1">
        <v>4</v>
      </c>
      <c r="E538" s="1">
        <v>904.12</v>
      </c>
      <c r="F538" s="1">
        <v>7.0000000000000007E-2</v>
      </c>
      <c r="G538" s="2" t="s">
        <v>560</v>
      </c>
      <c r="H538" s="10">
        <v>28.81</v>
      </c>
      <c r="I538" s="7">
        <v>225.04</v>
      </c>
      <c r="J538" s="7">
        <v>11.79</v>
      </c>
      <c r="K538" s="2" t="s">
        <v>868</v>
      </c>
      <c r="L538" s="16" t="s">
        <v>919</v>
      </c>
      <c r="M538" s="4" t="s">
        <v>563</v>
      </c>
      <c r="N538" s="2" t="s">
        <v>567</v>
      </c>
      <c r="O538" s="2" t="s">
        <v>568</v>
      </c>
      <c r="P538" s="2" t="s">
        <v>576</v>
      </c>
      <c r="Q538" s="1" t="s">
        <v>315</v>
      </c>
      <c r="R538" s="2" t="s">
        <v>589</v>
      </c>
      <c r="S538" s="8">
        <f>B538+2</f>
        <v>41015</v>
      </c>
    </row>
    <row r="539" spans="1:19" x14ac:dyDescent="0.15">
      <c r="A539" s="1">
        <v>43170</v>
      </c>
      <c r="B539" s="6">
        <f>DATE(2012,12,31)-963</f>
        <v>40311</v>
      </c>
      <c r="C539" s="2" t="s">
        <v>916</v>
      </c>
      <c r="D539" s="1">
        <v>25</v>
      </c>
      <c r="E539" s="1">
        <v>7667.78</v>
      </c>
      <c r="F539" s="1">
        <v>0.04</v>
      </c>
      <c r="G539" s="2" t="s">
        <v>562</v>
      </c>
      <c r="H539" s="10">
        <v>1494.01</v>
      </c>
      <c r="I539" s="7">
        <v>306.14</v>
      </c>
      <c r="J539" s="7">
        <v>26.53</v>
      </c>
      <c r="K539" s="2" t="s">
        <v>789</v>
      </c>
      <c r="L539" s="16" t="s">
        <v>919</v>
      </c>
      <c r="M539" s="4" t="s">
        <v>563</v>
      </c>
      <c r="N539" s="2" t="s">
        <v>565</v>
      </c>
      <c r="O539" s="2" t="s">
        <v>569</v>
      </c>
      <c r="P539" s="2" t="s">
        <v>583</v>
      </c>
      <c r="Q539" s="1" t="s">
        <v>336</v>
      </c>
      <c r="R539" s="2" t="s">
        <v>586</v>
      </c>
      <c r="S539" s="8">
        <f>B539+7</f>
        <v>40318</v>
      </c>
    </row>
    <row r="540" spans="1:19" x14ac:dyDescent="0.15">
      <c r="A540" s="1">
        <v>43170</v>
      </c>
      <c r="B540" s="6">
        <f>DATE(2012,12,31)-963</f>
        <v>40311</v>
      </c>
      <c r="C540" s="2" t="s">
        <v>916</v>
      </c>
      <c r="D540" s="1">
        <v>40</v>
      </c>
      <c r="E540" s="1">
        <v>1305.8499999999999</v>
      </c>
      <c r="F540" s="1">
        <v>0</v>
      </c>
      <c r="G540" s="2" t="s">
        <v>560</v>
      </c>
      <c r="H540" s="10">
        <v>65.010000000000005</v>
      </c>
      <c r="I540" s="7">
        <v>30.98</v>
      </c>
      <c r="J540" s="7">
        <v>17.079999999999998</v>
      </c>
      <c r="K540" s="2" t="s">
        <v>789</v>
      </c>
      <c r="L540" s="16" t="s">
        <v>919</v>
      </c>
      <c r="M540" s="4" t="s">
        <v>563</v>
      </c>
      <c r="N540" s="2" t="s">
        <v>565</v>
      </c>
      <c r="O540" s="2" t="s">
        <v>568</v>
      </c>
      <c r="P540" s="2" t="s">
        <v>573</v>
      </c>
      <c r="Q540" s="1" t="s">
        <v>281</v>
      </c>
      <c r="R540" s="2" t="s">
        <v>585</v>
      </c>
      <c r="S540" s="8">
        <f>B540+4</f>
        <v>40315</v>
      </c>
    </row>
    <row r="541" spans="1:19" x14ac:dyDescent="0.15">
      <c r="A541" s="1">
        <v>43397</v>
      </c>
      <c r="B541" s="6">
        <f>DATE(2012,12,31)-599</f>
        <v>40675</v>
      </c>
      <c r="C541" s="2" t="s">
        <v>917</v>
      </c>
      <c r="D541" s="1">
        <v>35</v>
      </c>
      <c r="E541" s="1">
        <v>2130.31</v>
      </c>
      <c r="F541" s="1">
        <v>0.08</v>
      </c>
      <c r="G541" s="2" t="s">
        <v>562</v>
      </c>
      <c r="H541" s="10">
        <v>-319.26</v>
      </c>
      <c r="I541" s="7">
        <v>60.89</v>
      </c>
      <c r="J541" s="7">
        <v>32.409999999999997</v>
      </c>
      <c r="K541" s="2" t="s">
        <v>774</v>
      </c>
      <c r="L541" s="16" t="s">
        <v>919</v>
      </c>
      <c r="M541" s="4" t="s">
        <v>563</v>
      </c>
      <c r="N541" s="2" t="s">
        <v>567</v>
      </c>
      <c r="O541" s="2" t="s">
        <v>570</v>
      </c>
      <c r="P541" s="2" t="s">
        <v>574</v>
      </c>
      <c r="Q541" s="1" t="s">
        <v>451</v>
      </c>
      <c r="R541" s="2" t="s">
        <v>586</v>
      </c>
      <c r="S541" s="8">
        <f>B541+1</f>
        <v>40676</v>
      </c>
    </row>
    <row r="542" spans="1:19" x14ac:dyDescent="0.15">
      <c r="A542" s="1">
        <v>43494</v>
      </c>
      <c r="B542" s="6">
        <f>DATE(2012,12,31)-363</f>
        <v>40911</v>
      </c>
      <c r="C542" s="2" t="s">
        <v>914</v>
      </c>
      <c r="D542" s="1">
        <v>2</v>
      </c>
      <c r="E542" s="1">
        <v>3668.28</v>
      </c>
      <c r="F542" s="1">
        <v>0.09</v>
      </c>
      <c r="G542" s="2" t="s">
        <v>560</v>
      </c>
      <c r="H542" s="10">
        <v>-4858.6716000000006</v>
      </c>
      <c r="I542" s="7">
        <v>1938.02</v>
      </c>
      <c r="J542" s="7">
        <v>13.99</v>
      </c>
      <c r="K542" s="2" t="s">
        <v>895</v>
      </c>
      <c r="L542" s="16" t="s">
        <v>919</v>
      </c>
      <c r="M542" s="4" t="s">
        <v>563</v>
      </c>
      <c r="N542" s="2" t="s">
        <v>566</v>
      </c>
      <c r="O542" s="2" t="s">
        <v>569</v>
      </c>
      <c r="P542" s="2" t="s">
        <v>583</v>
      </c>
      <c r="Q542" s="1" t="s">
        <v>639</v>
      </c>
      <c r="R542" s="2" t="s">
        <v>589</v>
      </c>
      <c r="S542" s="8">
        <f>B542+1</f>
        <v>40912</v>
      </c>
    </row>
    <row r="543" spans="1:19" x14ac:dyDescent="0.15">
      <c r="A543" s="1">
        <v>43682</v>
      </c>
      <c r="B543" s="6">
        <f>DATE(2012,12,31)-126</f>
        <v>41148</v>
      </c>
      <c r="C543" s="2" t="s">
        <v>914</v>
      </c>
      <c r="D543" s="1">
        <v>14</v>
      </c>
      <c r="E543" s="1">
        <v>1849.6</v>
      </c>
      <c r="F543" s="1">
        <v>0.06</v>
      </c>
      <c r="G543" s="2" t="s">
        <v>560</v>
      </c>
      <c r="H543" s="10">
        <v>62.162999999999997</v>
      </c>
      <c r="I543" s="7">
        <v>155.99</v>
      </c>
      <c r="J543" s="7">
        <v>8.99</v>
      </c>
      <c r="K543" s="2" t="s">
        <v>887</v>
      </c>
      <c r="L543" s="16" t="s">
        <v>919</v>
      </c>
      <c r="M543" s="4" t="s">
        <v>563</v>
      </c>
      <c r="N543" s="2" t="s">
        <v>567</v>
      </c>
      <c r="O543" s="2" t="s">
        <v>569</v>
      </c>
      <c r="P543" s="2" t="s">
        <v>87</v>
      </c>
      <c r="Q543" s="1" t="s">
        <v>496</v>
      </c>
      <c r="R543" s="2" t="s">
        <v>585</v>
      </c>
      <c r="S543" s="8">
        <f>B543+2</f>
        <v>41150</v>
      </c>
    </row>
    <row r="544" spans="1:19" x14ac:dyDescent="0.15">
      <c r="A544" s="1">
        <v>43814</v>
      </c>
      <c r="B544" s="6">
        <f>DATE(2012,12,31)-722</f>
        <v>40552</v>
      </c>
      <c r="C544" s="2" t="s">
        <v>914</v>
      </c>
      <c r="D544" s="1">
        <v>40</v>
      </c>
      <c r="E544" s="1">
        <v>197.1</v>
      </c>
      <c r="F544" s="1">
        <v>0.09</v>
      </c>
      <c r="G544" s="2" t="s">
        <v>560</v>
      </c>
      <c r="H544" s="10">
        <v>-12.88</v>
      </c>
      <c r="I544" s="7">
        <v>5.28</v>
      </c>
      <c r="J544" s="7">
        <v>2.99</v>
      </c>
      <c r="K544" s="2" t="s">
        <v>766</v>
      </c>
      <c r="L544" s="16" t="s">
        <v>919</v>
      </c>
      <c r="M544" s="4" t="s">
        <v>563</v>
      </c>
      <c r="N544" s="2" t="s">
        <v>567</v>
      </c>
      <c r="O544" s="2" t="s">
        <v>568</v>
      </c>
      <c r="P544" s="2" t="s">
        <v>88</v>
      </c>
      <c r="Q544" s="1" t="s">
        <v>17</v>
      </c>
      <c r="R544" s="2" t="s">
        <v>585</v>
      </c>
      <c r="S544" s="8">
        <f>B544+1</f>
        <v>40553</v>
      </c>
    </row>
    <row r="545" spans="1:19" x14ac:dyDescent="0.15">
      <c r="A545" s="1">
        <v>43814</v>
      </c>
      <c r="B545" s="6">
        <f>DATE(2012,12,31)-722</f>
        <v>40552</v>
      </c>
      <c r="C545" s="2" t="s">
        <v>914</v>
      </c>
      <c r="D545" s="1">
        <v>47</v>
      </c>
      <c r="E545" s="1">
        <v>199.48</v>
      </c>
      <c r="F545" s="1">
        <v>0.03</v>
      </c>
      <c r="G545" s="2" t="s">
        <v>560</v>
      </c>
      <c r="H545" s="10">
        <v>13.8</v>
      </c>
      <c r="I545" s="7">
        <v>4.2</v>
      </c>
      <c r="J545" s="7">
        <v>2.2599999999999998</v>
      </c>
      <c r="K545" s="2" t="s">
        <v>766</v>
      </c>
      <c r="L545" s="16" t="s">
        <v>919</v>
      </c>
      <c r="M545" s="4" t="s">
        <v>563</v>
      </c>
      <c r="N545" s="2" t="s">
        <v>567</v>
      </c>
      <c r="O545" s="2" t="s">
        <v>568</v>
      </c>
      <c r="P545" s="2" t="s">
        <v>573</v>
      </c>
      <c r="Q545" s="1" t="s">
        <v>536</v>
      </c>
      <c r="R545" s="2" t="s">
        <v>584</v>
      </c>
      <c r="S545" s="8">
        <f>B545+1</f>
        <v>40553</v>
      </c>
    </row>
    <row r="546" spans="1:19" x14ac:dyDescent="0.15">
      <c r="A546" s="1">
        <v>43815</v>
      </c>
      <c r="B546" s="6">
        <f>DATE(2012,12,31)-201</f>
        <v>41073</v>
      </c>
      <c r="C546" s="2" t="s">
        <v>915</v>
      </c>
      <c r="D546" s="1">
        <v>40</v>
      </c>
      <c r="E546" s="1">
        <v>635.59</v>
      </c>
      <c r="F546" s="1">
        <v>7.0000000000000007E-2</v>
      </c>
      <c r="G546" s="2" t="s">
        <v>560</v>
      </c>
      <c r="H546" s="10">
        <v>202.827</v>
      </c>
      <c r="I546" s="7">
        <v>16.510000000000002</v>
      </c>
      <c r="J546" s="7">
        <v>2.99</v>
      </c>
      <c r="K546" s="2" t="s">
        <v>832</v>
      </c>
      <c r="L546" s="16" t="s">
        <v>919</v>
      </c>
      <c r="M546" s="4" t="s">
        <v>563</v>
      </c>
      <c r="N546" s="2" t="s">
        <v>564</v>
      </c>
      <c r="O546" s="2" t="s">
        <v>568</v>
      </c>
      <c r="P546" s="2" t="s">
        <v>88</v>
      </c>
      <c r="Q546" s="1" t="s">
        <v>414</v>
      </c>
      <c r="R546" s="2" t="s">
        <v>585</v>
      </c>
      <c r="S546" s="8">
        <f>B546+1</f>
        <v>41074</v>
      </c>
    </row>
    <row r="547" spans="1:19" x14ac:dyDescent="0.15">
      <c r="A547" s="1">
        <v>43815</v>
      </c>
      <c r="B547" s="6">
        <f>DATE(2012,12,31)-201</f>
        <v>41073</v>
      </c>
      <c r="C547" s="2" t="s">
        <v>915</v>
      </c>
      <c r="D547" s="1">
        <v>22</v>
      </c>
      <c r="E547" s="1">
        <v>1251.4000000000001</v>
      </c>
      <c r="F547" s="1">
        <v>0.01</v>
      </c>
      <c r="G547" s="2" t="s">
        <v>560</v>
      </c>
      <c r="H547" s="10">
        <v>539.45000000000005</v>
      </c>
      <c r="I547" s="7">
        <v>55.48</v>
      </c>
      <c r="J547" s="7">
        <v>6.79</v>
      </c>
      <c r="K547" s="2" t="s">
        <v>832</v>
      </c>
      <c r="L547" s="16" t="s">
        <v>919</v>
      </c>
      <c r="M547" s="4" t="s">
        <v>563</v>
      </c>
      <c r="N547" s="2" t="s">
        <v>564</v>
      </c>
      <c r="O547" s="2" t="s">
        <v>568</v>
      </c>
      <c r="P547" s="2" t="s">
        <v>573</v>
      </c>
      <c r="Q547" s="1" t="s">
        <v>413</v>
      </c>
      <c r="R547" s="2" t="s">
        <v>585</v>
      </c>
      <c r="S547" s="8">
        <f>B547+1</f>
        <v>41074</v>
      </c>
    </row>
    <row r="548" spans="1:19" x14ac:dyDescent="0.15">
      <c r="A548" s="1">
        <v>43815</v>
      </c>
      <c r="B548" s="6">
        <f>DATE(2012,12,31)-201</f>
        <v>41073</v>
      </c>
      <c r="C548" s="2" t="s">
        <v>915</v>
      </c>
      <c r="D548" s="1">
        <v>45</v>
      </c>
      <c r="E548" s="1">
        <v>3577.81</v>
      </c>
      <c r="F548" s="1">
        <v>0.03</v>
      </c>
      <c r="G548" s="2" t="s">
        <v>560</v>
      </c>
      <c r="H548" s="10">
        <v>-1097.97</v>
      </c>
      <c r="I548" s="7">
        <v>78.8</v>
      </c>
      <c r="J548" s="7">
        <v>35</v>
      </c>
      <c r="K548" s="2" t="s">
        <v>832</v>
      </c>
      <c r="L548" s="16" t="s">
        <v>919</v>
      </c>
      <c r="M548" s="4" t="s">
        <v>563</v>
      </c>
      <c r="N548" s="2" t="s">
        <v>564</v>
      </c>
      <c r="O548" s="2" t="s">
        <v>568</v>
      </c>
      <c r="P548" s="2" t="s">
        <v>577</v>
      </c>
      <c r="Q548" s="1" t="s">
        <v>415</v>
      </c>
      <c r="R548" s="2" t="s">
        <v>590</v>
      </c>
      <c r="S548" s="8">
        <f>B548+1</f>
        <v>41074</v>
      </c>
    </row>
    <row r="549" spans="1:19" x14ac:dyDescent="0.15">
      <c r="A549" s="1">
        <v>43844</v>
      </c>
      <c r="B549" s="6">
        <f>DATE(2012,12,31)-792</f>
        <v>40482</v>
      </c>
      <c r="C549" s="2" t="s">
        <v>913</v>
      </c>
      <c r="D549" s="1">
        <v>25</v>
      </c>
      <c r="E549" s="1">
        <v>1009.8679999999999</v>
      </c>
      <c r="F549" s="1">
        <v>0.02</v>
      </c>
      <c r="G549" s="2" t="s">
        <v>560</v>
      </c>
      <c r="H549" s="10">
        <v>170.56800000000001</v>
      </c>
      <c r="I549" s="7">
        <v>45.99</v>
      </c>
      <c r="J549" s="7">
        <v>4.99</v>
      </c>
      <c r="K549" s="2" t="s">
        <v>892</v>
      </c>
      <c r="L549" s="16" t="s">
        <v>919</v>
      </c>
      <c r="M549" s="4" t="s">
        <v>563</v>
      </c>
      <c r="N549" s="2" t="s">
        <v>565</v>
      </c>
      <c r="O549" s="2" t="s">
        <v>569</v>
      </c>
      <c r="P549" s="2" t="s">
        <v>87</v>
      </c>
      <c r="Q549" s="1" t="s">
        <v>108</v>
      </c>
      <c r="R549" s="2" t="s">
        <v>585</v>
      </c>
      <c r="S549" s="8">
        <f>B549+0</f>
        <v>40482</v>
      </c>
    </row>
    <row r="550" spans="1:19" x14ac:dyDescent="0.15">
      <c r="A550" s="1">
        <v>43846</v>
      </c>
      <c r="B550" s="6">
        <f>DATE(2012,12,31)-1404</f>
        <v>39870</v>
      </c>
      <c r="C550" s="2" t="s">
        <v>913</v>
      </c>
      <c r="D550" s="1">
        <v>9</v>
      </c>
      <c r="E550" s="1">
        <v>31.36</v>
      </c>
      <c r="F550" s="1">
        <v>0.1</v>
      </c>
      <c r="G550" s="2" t="s">
        <v>560</v>
      </c>
      <c r="H550" s="10">
        <v>-8.2799999999999994</v>
      </c>
      <c r="I550" s="7">
        <v>3.6</v>
      </c>
      <c r="J550" s="7">
        <v>2.2000000000000002</v>
      </c>
      <c r="K550" s="2" t="s">
        <v>895</v>
      </c>
      <c r="L550" s="16" t="s">
        <v>919</v>
      </c>
      <c r="M550" s="4" t="s">
        <v>563</v>
      </c>
      <c r="N550" s="2" t="s">
        <v>566</v>
      </c>
      <c r="O550" s="2" t="s">
        <v>568</v>
      </c>
      <c r="P550" s="2" t="s">
        <v>573</v>
      </c>
      <c r="Q550" s="1" t="s">
        <v>526</v>
      </c>
      <c r="R550" s="2" t="s">
        <v>584</v>
      </c>
      <c r="S550" s="8">
        <f>B550+1</f>
        <v>39871</v>
      </c>
    </row>
    <row r="551" spans="1:19" x14ac:dyDescent="0.15">
      <c r="A551" s="1">
        <v>43974</v>
      </c>
      <c r="B551" s="6">
        <f>DATE(2012,12,31)-1202</f>
        <v>40072</v>
      </c>
      <c r="C551" s="2" t="s">
        <v>915</v>
      </c>
      <c r="D551" s="1">
        <v>8</v>
      </c>
      <c r="E551" s="1">
        <v>64.23</v>
      </c>
      <c r="F551" s="1">
        <v>0.03</v>
      </c>
      <c r="G551" s="2" t="s">
        <v>560</v>
      </c>
      <c r="H551" s="10">
        <v>15.83</v>
      </c>
      <c r="I551" s="7">
        <v>7.64</v>
      </c>
      <c r="J551" s="7">
        <v>1.39</v>
      </c>
      <c r="K551" s="2" t="s">
        <v>800</v>
      </c>
      <c r="L551" s="16" t="s">
        <v>919</v>
      </c>
      <c r="M551" s="4" t="s">
        <v>563</v>
      </c>
      <c r="N551" s="2" t="s">
        <v>567</v>
      </c>
      <c r="O551" s="2" t="s">
        <v>568</v>
      </c>
      <c r="P551" s="2" t="s">
        <v>575</v>
      </c>
      <c r="Q551" s="1" t="s">
        <v>275</v>
      </c>
      <c r="R551" s="2" t="s">
        <v>585</v>
      </c>
      <c r="S551" s="8">
        <f>B551+1</f>
        <v>40073</v>
      </c>
    </row>
    <row r="552" spans="1:19" x14ac:dyDescent="0.15">
      <c r="A552" s="1">
        <v>44000</v>
      </c>
      <c r="B552" s="6">
        <f>DATE(2012,12,31)-88</f>
        <v>41186</v>
      </c>
      <c r="C552" s="2" t="s">
        <v>915</v>
      </c>
      <c r="D552" s="1">
        <v>17</v>
      </c>
      <c r="E552" s="1">
        <v>119.51</v>
      </c>
      <c r="F552" s="1">
        <v>0.06</v>
      </c>
      <c r="G552" s="2" t="s">
        <v>560</v>
      </c>
      <c r="H552" s="10">
        <v>-51.301499999999997</v>
      </c>
      <c r="I552" s="7">
        <v>7.1</v>
      </c>
      <c r="J552" s="7">
        <v>6.05</v>
      </c>
      <c r="K552" s="2" t="s">
        <v>852</v>
      </c>
      <c r="L552" s="16" t="s">
        <v>919</v>
      </c>
      <c r="M552" s="4" t="s">
        <v>563</v>
      </c>
      <c r="N552" s="2" t="s">
        <v>565</v>
      </c>
      <c r="O552" s="2" t="s">
        <v>568</v>
      </c>
      <c r="P552" s="2" t="s">
        <v>88</v>
      </c>
      <c r="Q552" s="1" t="s">
        <v>446</v>
      </c>
      <c r="R552" s="2" t="s">
        <v>585</v>
      </c>
      <c r="S552" s="8">
        <f>B552+0</f>
        <v>41186</v>
      </c>
    </row>
    <row r="553" spans="1:19" x14ac:dyDescent="0.15">
      <c r="A553" s="1">
        <v>44000</v>
      </c>
      <c r="B553" s="6">
        <f>DATE(2012,12,31)-88</f>
        <v>41186</v>
      </c>
      <c r="C553" s="2" t="s">
        <v>915</v>
      </c>
      <c r="D553" s="1">
        <v>19</v>
      </c>
      <c r="E553" s="1">
        <v>332.38</v>
      </c>
      <c r="F553" s="1">
        <v>0.05</v>
      </c>
      <c r="G553" s="2" t="s">
        <v>560</v>
      </c>
      <c r="H553" s="10">
        <v>89.95</v>
      </c>
      <c r="I553" s="7">
        <v>17.78</v>
      </c>
      <c r="J553" s="7">
        <v>5.03</v>
      </c>
      <c r="K553" s="2" t="s">
        <v>852</v>
      </c>
      <c r="L553" s="16" t="s">
        <v>919</v>
      </c>
      <c r="M553" s="4" t="s">
        <v>563</v>
      </c>
      <c r="N553" s="2" t="s">
        <v>565</v>
      </c>
      <c r="O553" s="2" t="s">
        <v>570</v>
      </c>
      <c r="P553" s="2" t="s">
        <v>579</v>
      </c>
      <c r="Q553" s="1" t="s">
        <v>319</v>
      </c>
      <c r="R553" s="2" t="s">
        <v>585</v>
      </c>
      <c r="S553" s="8">
        <f>B553+1</f>
        <v>41187</v>
      </c>
    </row>
    <row r="554" spans="1:19" x14ac:dyDescent="0.15">
      <c r="A554" s="1">
        <v>44003</v>
      </c>
      <c r="B554" s="6">
        <f>DATE(2012,12,31)-410</f>
        <v>40864</v>
      </c>
      <c r="C554" s="2" t="s">
        <v>916</v>
      </c>
      <c r="D554" s="1">
        <v>38</v>
      </c>
      <c r="E554" s="1">
        <v>202.42</v>
      </c>
      <c r="F554" s="1">
        <v>0.09</v>
      </c>
      <c r="G554" s="2" t="s">
        <v>560</v>
      </c>
      <c r="H554" s="10">
        <v>0.85850000000000004</v>
      </c>
      <c r="I554" s="7">
        <v>5.34</v>
      </c>
      <c r="J554" s="7">
        <v>2.99</v>
      </c>
      <c r="K554" s="2" t="s">
        <v>769</v>
      </c>
      <c r="L554" s="16" t="s">
        <v>919</v>
      </c>
      <c r="M554" s="4" t="s">
        <v>563</v>
      </c>
      <c r="N554" s="2" t="s">
        <v>564</v>
      </c>
      <c r="O554" s="2" t="s">
        <v>568</v>
      </c>
      <c r="P554" s="2" t="s">
        <v>88</v>
      </c>
      <c r="Q554" s="1" t="s">
        <v>193</v>
      </c>
      <c r="R554" s="2" t="s">
        <v>585</v>
      </c>
      <c r="S554" s="8">
        <f>B554+4</f>
        <v>40868</v>
      </c>
    </row>
    <row r="555" spans="1:19" x14ac:dyDescent="0.15">
      <c r="A555" s="1">
        <v>44069</v>
      </c>
      <c r="B555" s="6">
        <f>DATE(2012,12,31)-1459</f>
        <v>39815</v>
      </c>
      <c r="C555" s="2" t="s">
        <v>917</v>
      </c>
      <c r="D555" s="1">
        <v>16</v>
      </c>
      <c r="E555" s="1">
        <v>137.63</v>
      </c>
      <c r="F555" s="1">
        <v>0.09</v>
      </c>
      <c r="G555" s="2" t="s">
        <v>561</v>
      </c>
      <c r="H555" s="10">
        <v>26.71</v>
      </c>
      <c r="I555" s="7">
        <v>9.11</v>
      </c>
      <c r="J555" s="7">
        <v>2.15</v>
      </c>
      <c r="K555" s="2" t="s">
        <v>632</v>
      </c>
      <c r="L555" s="16" t="s">
        <v>919</v>
      </c>
      <c r="M555" s="4" t="s">
        <v>563</v>
      </c>
      <c r="N555" s="2" t="s">
        <v>566</v>
      </c>
      <c r="O555" s="2" t="s">
        <v>568</v>
      </c>
      <c r="P555" s="2" t="s">
        <v>573</v>
      </c>
      <c r="Q555" s="1" t="s">
        <v>404</v>
      </c>
      <c r="R555" s="2" t="s">
        <v>584</v>
      </c>
      <c r="S555" s="8">
        <f>B555+2</f>
        <v>39817</v>
      </c>
    </row>
    <row r="556" spans="1:19" x14ac:dyDescent="0.15">
      <c r="A556" s="1">
        <v>44069</v>
      </c>
      <c r="B556" s="6">
        <f>DATE(2012,12,31)-1459</f>
        <v>39815</v>
      </c>
      <c r="C556" s="2" t="s">
        <v>917</v>
      </c>
      <c r="D556" s="1">
        <v>43</v>
      </c>
      <c r="E556" s="1">
        <v>614.79999999999995</v>
      </c>
      <c r="F556" s="1">
        <v>0.08</v>
      </c>
      <c r="G556" s="2" t="s">
        <v>560</v>
      </c>
      <c r="H556" s="10">
        <v>247.79</v>
      </c>
      <c r="I556" s="7">
        <v>15.04</v>
      </c>
      <c r="J556" s="7">
        <v>1.97</v>
      </c>
      <c r="K556" s="2" t="s">
        <v>632</v>
      </c>
      <c r="L556" s="16" t="s">
        <v>919</v>
      </c>
      <c r="M556" s="4" t="s">
        <v>563</v>
      </c>
      <c r="N556" s="2" t="s">
        <v>566</v>
      </c>
      <c r="O556" s="2" t="s">
        <v>568</v>
      </c>
      <c r="P556" s="2" t="s">
        <v>573</v>
      </c>
      <c r="Q556" s="1" t="s">
        <v>170</v>
      </c>
      <c r="R556" s="2" t="s">
        <v>584</v>
      </c>
      <c r="S556" s="8">
        <f>B556+0</f>
        <v>39815</v>
      </c>
    </row>
    <row r="557" spans="1:19" x14ac:dyDescent="0.15">
      <c r="A557" s="1">
        <v>44099</v>
      </c>
      <c r="B557" s="6">
        <f>DATE(2012,12,31)-294</f>
        <v>40980</v>
      </c>
      <c r="C557" s="2" t="s">
        <v>914</v>
      </c>
      <c r="D557" s="1">
        <v>34</v>
      </c>
      <c r="E557" s="1">
        <v>11823.52</v>
      </c>
      <c r="F557" s="1">
        <v>0.1</v>
      </c>
      <c r="G557" s="2" t="s">
        <v>560</v>
      </c>
      <c r="H557" s="10">
        <v>4592.7370000000001</v>
      </c>
      <c r="I557" s="7">
        <v>367.99</v>
      </c>
      <c r="J557" s="7">
        <v>19.989999999999998</v>
      </c>
      <c r="K557" s="2" t="s">
        <v>907</v>
      </c>
      <c r="L557" s="16" t="s">
        <v>919</v>
      </c>
      <c r="M557" s="4" t="s">
        <v>563</v>
      </c>
      <c r="N557" s="2" t="s">
        <v>567</v>
      </c>
      <c r="O557" s="2" t="s">
        <v>568</v>
      </c>
      <c r="P557" s="2" t="s">
        <v>88</v>
      </c>
      <c r="Q557" s="1" t="s">
        <v>492</v>
      </c>
      <c r="R557" s="2" t="s">
        <v>585</v>
      </c>
      <c r="S557" s="8">
        <f>B557+2</f>
        <v>40982</v>
      </c>
    </row>
    <row r="558" spans="1:19" x14ac:dyDescent="0.15">
      <c r="A558" s="1">
        <v>44099</v>
      </c>
      <c r="B558" s="6">
        <f>DATE(2012,12,31)-294</f>
        <v>40980</v>
      </c>
      <c r="C558" s="2" t="s">
        <v>914</v>
      </c>
      <c r="D558" s="1">
        <v>19</v>
      </c>
      <c r="E558" s="1">
        <v>80.81</v>
      </c>
      <c r="F558" s="1">
        <v>0.1</v>
      </c>
      <c r="G558" s="2" t="s">
        <v>560</v>
      </c>
      <c r="H558" s="10">
        <v>-67.459000000000003</v>
      </c>
      <c r="I558" s="7">
        <v>4.24</v>
      </c>
      <c r="J558" s="7">
        <v>5.41</v>
      </c>
      <c r="K558" s="2" t="s">
        <v>907</v>
      </c>
      <c r="L558" s="16" t="s">
        <v>919</v>
      </c>
      <c r="M558" s="4" t="s">
        <v>563</v>
      </c>
      <c r="N558" s="2" t="s">
        <v>567</v>
      </c>
      <c r="O558" s="2" t="s">
        <v>568</v>
      </c>
      <c r="P558" s="2" t="s">
        <v>88</v>
      </c>
      <c r="Q558" s="1" t="s">
        <v>491</v>
      </c>
      <c r="R558" s="2" t="s">
        <v>585</v>
      </c>
      <c r="S558" s="8">
        <f>B558+2</f>
        <v>40982</v>
      </c>
    </row>
    <row r="559" spans="1:19" x14ac:dyDescent="0.15">
      <c r="A559" s="1">
        <v>44133</v>
      </c>
      <c r="B559" s="6">
        <f>DATE(2012,12,31)-1090</f>
        <v>40184</v>
      </c>
      <c r="C559" s="2" t="s">
        <v>913</v>
      </c>
      <c r="D559" s="1">
        <v>35</v>
      </c>
      <c r="E559" s="1">
        <v>181.15</v>
      </c>
      <c r="F559" s="1">
        <v>0.06</v>
      </c>
      <c r="G559" s="2" t="s">
        <v>560</v>
      </c>
      <c r="H559" s="10">
        <v>-46.68</v>
      </c>
      <c r="I559" s="7">
        <v>5.28</v>
      </c>
      <c r="J559" s="7">
        <v>3.96</v>
      </c>
      <c r="K559" s="2" t="s">
        <v>863</v>
      </c>
      <c r="L559" s="16" t="s">
        <v>919</v>
      </c>
      <c r="M559" s="4" t="s">
        <v>563</v>
      </c>
      <c r="N559" s="2" t="s">
        <v>565</v>
      </c>
      <c r="O559" s="2" t="s">
        <v>570</v>
      </c>
      <c r="P559" s="2" t="s">
        <v>579</v>
      </c>
      <c r="Q559" s="1" t="s">
        <v>711</v>
      </c>
      <c r="R559" s="2" t="s">
        <v>584</v>
      </c>
      <c r="S559" s="8">
        <f>B559+1</f>
        <v>40185</v>
      </c>
    </row>
    <row r="560" spans="1:19" x14ac:dyDescent="0.15">
      <c r="A560" s="1">
        <v>44261</v>
      </c>
      <c r="B560" s="6">
        <f>DATE(2012,12,31)-283</f>
        <v>40991</v>
      </c>
      <c r="C560" s="2" t="s">
        <v>913</v>
      </c>
      <c r="D560" s="1">
        <v>31</v>
      </c>
      <c r="E560" s="1">
        <v>13064.06</v>
      </c>
      <c r="F560" s="1">
        <v>0.01</v>
      </c>
      <c r="G560" s="2" t="s">
        <v>561</v>
      </c>
      <c r="H560" s="10">
        <v>5979.5630000000001</v>
      </c>
      <c r="I560" s="7">
        <v>420.98</v>
      </c>
      <c r="J560" s="7">
        <v>19.989999999999998</v>
      </c>
      <c r="K560" s="2" t="s">
        <v>806</v>
      </c>
      <c r="L560" s="16" t="s">
        <v>919</v>
      </c>
      <c r="M560" s="4" t="s">
        <v>563</v>
      </c>
      <c r="N560" s="2" t="s">
        <v>567</v>
      </c>
      <c r="O560" s="2" t="s">
        <v>568</v>
      </c>
      <c r="P560" s="2" t="s">
        <v>88</v>
      </c>
      <c r="Q560" s="1" t="s">
        <v>5</v>
      </c>
      <c r="R560" s="2" t="s">
        <v>585</v>
      </c>
      <c r="S560" s="8">
        <f>B560+2</f>
        <v>40993</v>
      </c>
    </row>
    <row r="561" spans="1:19" x14ac:dyDescent="0.15">
      <c r="A561" s="1">
        <v>44261</v>
      </c>
      <c r="B561" s="6">
        <f>DATE(2012,12,31)-283</f>
        <v>40991</v>
      </c>
      <c r="C561" s="2" t="s">
        <v>913</v>
      </c>
      <c r="D561" s="1">
        <v>34</v>
      </c>
      <c r="E561" s="1">
        <v>4771.8900000000003</v>
      </c>
      <c r="F561" s="1">
        <v>0.05</v>
      </c>
      <c r="G561" s="2" t="s">
        <v>562</v>
      </c>
      <c r="H561" s="10">
        <v>-427.99</v>
      </c>
      <c r="I561" s="7">
        <v>140.97999999999999</v>
      </c>
      <c r="J561" s="7">
        <v>36.090000000000003</v>
      </c>
      <c r="K561" s="2" t="s">
        <v>806</v>
      </c>
      <c r="L561" s="16" t="s">
        <v>919</v>
      </c>
      <c r="M561" s="4" t="s">
        <v>563</v>
      </c>
      <c r="N561" s="2" t="s">
        <v>567</v>
      </c>
      <c r="O561" s="2" t="s">
        <v>570</v>
      </c>
      <c r="P561" s="2" t="s">
        <v>581</v>
      </c>
      <c r="Q561" s="1" t="s">
        <v>166</v>
      </c>
      <c r="R561" s="2" t="s">
        <v>588</v>
      </c>
      <c r="S561" s="8">
        <f>B561+2</f>
        <v>40993</v>
      </c>
    </row>
    <row r="562" spans="1:19" x14ac:dyDescent="0.15">
      <c r="A562" s="1">
        <v>44261</v>
      </c>
      <c r="B562" s="6">
        <f>DATE(2012,12,31)-283</f>
        <v>40991</v>
      </c>
      <c r="C562" s="2" t="s">
        <v>913</v>
      </c>
      <c r="D562" s="1">
        <v>1</v>
      </c>
      <c r="E562" s="1">
        <v>3360.3</v>
      </c>
      <c r="F562" s="1">
        <v>0.05</v>
      </c>
      <c r="G562" s="2" t="s">
        <v>562</v>
      </c>
      <c r="H562" s="10">
        <v>-7961.4308999999994</v>
      </c>
      <c r="I562" s="7">
        <v>3502.14</v>
      </c>
      <c r="J562" s="7">
        <v>8.73</v>
      </c>
      <c r="K562" s="2" t="s">
        <v>806</v>
      </c>
      <c r="L562" s="16" t="s">
        <v>919</v>
      </c>
      <c r="M562" s="4" t="s">
        <v>563</v>
      </c>
      <c r="N562" s="2" t="s">
        <v>567</v>
      </c>
      <c r="O562" s="2" t="s">
        <v>569</v>
      </c>
      <c r="P562" s="2" t="s">
        <v>583</v>
      </c>
      <c r="Q562" s="1" t="s">
        <v>618</v>
      </c>
      <c r="R562" s="2" t="s">
        <v>588</v>
      </c>
      <c r="S562" s="8">
        <f>B562+1</f>
        <v>40992</v>
      </c>
    </row>
    <row r="563" spans="1:19" x14ac:dyDescent="0.15">
      <c r="A563" s="1">
        <v>44261</v>
      </c>
      <c r="B563" s="6">
        <f>DATE(2012,12,31)-283</f>
        <v>40991</v>
      </c>
      <c r="C563" s="2" t="s">
        <v>913</v>
      </c>
      <c r="D563" s="1">
        <v>10</v>
      </c>
      <c r="E563" s="1">
        <v>306.66299999999995</v>
      </c>
      <c r="F563" s="1">
        <v>7.0000000000000007E-2</v>
      </c>
      <c r="G563" s="2" t="s">
        <v>560</v>
      </c>
      <c r="H563" s="10">
        <v>-17.413</v>
      </c>
      <c r="I563" s="7">
        <v>35.99</v>
      </c>
      <c r="J563" s="7">
        <v>5.99</v>
      </c>
      <c r="K563" s="2" t="s">
        <v>806</v>
      </c>
      <c r="L563" s="16" t="s">
        <v>919</v>
      </c>
      <c r="M563" s="4" t="s">
        <v>563</v>
      </c>
      <c r="N563" s="2" t="s">
        <v>567</v>
      </c>
      <c r="O563" s="2" t="s">
        <v>569</v>
      </c>
      <c r="P563" s="2" t="s">
        <v>87</v>
      </c>
      <c r="Q563" s="1" t="s">
        <v>6</v>
      </c>
      <c r="R563" s="2" t="s">
        <v>584</v>
      </c>
      <c r="S563" s="8">
        <f>B563+3</f>
        <v>40994</v>
      </c>
    </row>
    <row r="564" spans="1:19" x14ac:dyDescent="0.15">
      <c r="A564" s="1">
        <v>44323</v>
      </c>
      <c r="B564" s="6">
        <f>DATE(2012,12,31)-146</f>
        <v>41128</v>
      </c>
      <c r="C564" s="2" t="s">
        <v>914</v>
      </c>
      <c r="D564" s="1">
        <v>27</v>
      </c>
      <c r="E564" s="1">
        <v>21320.58</v>
      </c>
      <c r="F564" s="1">
        <v>0.09</v>
      </c>
      <c r="G564" s="2" t="s">
        <v>562</v>
      </c>
      <c r="H564" s="10">
        <v>5381.02</v>
      </c>
      <c r="I564" s="7">
        <v>810.98</v>
      </c>
      <c r="J564" s="7">
        <v>16.059999999999999</v>
      </c>
      <c r="K564" s="2" t="s">
        <v>858</v>
      </c>
      <c r="L564" s="16" t="s">
        <v>919</v>
      </c>
      <c r="M564" s="4" t="s">
        <v>563</v>
      </c>
      <c r="N564" s="2" t="s">
        <v>567</v>
      </c>
      <c r="O564" s="2" t="s">
        <v>569</v>
      </c>
      <c r="P564" s="2" t="s">
        <v>583</v>
      </c>
      <c r="Q564" s="1" t="s">
        <v>613</v>
      </c>
      <c r="R564" s="2" t="s">
        <v>586</v>
      </c>
      <c r="S564" s="8">
        <f>B564+2</f>
        <v>41130</v>
      </c>
    </row>
    <row r="565" spans="1:19" x14ac:dyDescent="0.15">
      <c r="A565" s="1">
        <v>44517</v>
      </c>
      <c r="B565" s="6">
        <f>DATE(2012,12,31)-1348</f>
        <v>39926</v>
      </c>
      <c r="C565" s="2" t="s">
        <v>914</v>
      </c>
      <c r="D565" s="1">
        <v>5</v>
      </c>
      <c r="E565" s="1">
        <v>32.5</v>
      </c>
      <c r="F565" s="1">
        <v>0.03</v>
      </c>
      <c r="G565" s="2" t="s">
        <v>560</v>
      </c>
      <c r="H565" s="10">
        <v>-16.670000000000002</v>
      </c>
      <c r="I565" s="7">
        <v>5.28</v>
      </c>
      <c r="J565" s="7">
        <v>5.61</v>
      </c>
      <c r="K565" s="2" t="s">
        <v>770</v>
      </c>
      <c r="L565" s="16" t="s">
        <v>919</v>
      </c>
      <c r="M565" s="4" t="s">
        <v>563</v>
      </c>
      <c r="N565" s="2" t="s">
        <v>566</v>
      </c>
      <c r="O565" s="2" t="s">
        <v>568</v>
      </c>
      <c r="P565" s="2" t="s">
        <v>573</v>
      </c>
      <c r="Q565" s="1" t="s">
        <v>362</v>
      </c>
      <c r="R565" s="2" t="s">
        <v>585</v>
      </c>
      <c r="S565" s="8">
        <f>B565+1</f>
        <v>39927</v>
      </c>
    </row>
    <row r="566" spans="1:19" x14ac:dyDescent="0.15">
      <c r="A566" s="1">
        <v>44549</v>
      </c>
      <c r="B566" s="6">
        <f>DATE(2012,12,31)-344</f>
        <v>40930</v>
      </c>
      <c r="C566" s="2" t="s">
        <v>914</v>
      </c>
      <c r="D566" s="1">
        <v>5</v>
      </c>
      <c r="E566" s="1">
        <v>11.25</v>
      </c>
      <c r="F566" s="1">
        <v>0.08</v>
      </c>
      <c r="G566" s="2" t="s">
        <v>560</v>
      </c>
      <c r="H566" s="10">
        <v>-4.9564999999999992</v>
      </c>
      <c r="I566" s="7">
        <v>2.08</v>
      </c>
      <c r="J566" s="7">
        <v>1.49</v>
      </c>
      <c r="K566" s="2" t="s">
        <v>908</v>
      </c>
      <c r="L566" s="16" t="s">
        <v>919</v>
      </c>
      <c r="M566" s="4" t="s">
        <v>563</v>
      </c>
      <c r="N566" s="2" t="s">
        <v>565</v>
      </c>
      <c r="O566" s="2" t="s">
        <v>568</v>
      </c>
      <c r="P566" s="2" t="s">
        <v>88</v>
      </c>
      <c r="Q566" s="1" t="s">
        <v>223</v>
      </c>
      <c r="R566" s="2" t="s">
        <v>585</v>
      </c>
      <c r="S566" s="8">
        <f>B566+1</f>
        <v>40931</v>
      </c>
    </row>
    <row r="567" spans="1:19" x14ac:dyDescent="0.15">
      <c r="A567" s="1">
        <v>44679</v>
      </c>
      <c r="B567" s="6">
        <f>DATE(2012,12,31)-211</f>
        <v>41063</v>
      </c>
      <c r="C567" s="2" t="s">
        <v>914</v>
      </c>
      <c r="D567" s="1">
        <v>22</v>
      </c>
      <c r="E567" s="1">
        <v>127.51</v>
      </c>
      <c r="F567" s="1">
        <v>7.0000000000000007E-2</v>
      </c>
      <c r="G567" s="2" t="s">
        <v>560</v>
      </c>
      <c r="H567" s="10">
        <v>26.741</v>
      </c>
      <c r="I567" s="7">
        <v>5.98</v>
      </c>
      <c r="J567" s="7">
        <v>1.49</v>
      </c>
      <c r="K567" s="2" t="s">
        <v>314</v>
      </c>
      <c r="L567" s="16" t="s">
        <v>919</v>
      </c>
      <c r="M567" s="4" t="s">
        <v>563</v>
      </c>
      <c r="N567" s="2" t="s">
        <v>565</v>
      </c>
      <c r="O567" s="2" t="s">
        <v>568</v>
      </c>
      <c r="P567" s="2" t="s">
        <v>88</v>
      </c>
      <c r="Q567" s="1" t="s">
        <v>448</v>
      </c>
      <c r="R567" s="2" t="s">
        <v>585</v>
      </c>
      <c r="S567" s="8">
        <f>B567+1</f>
        <v>41064</v>
      </c>
    </row>
    <row r="568" spans="1:19" x14ac:dyDescent="0.15">
      <c r="A568" s="1">
        <v>44679</v>
      </c>
      <c r="B568" s="6">
        <f>DATE(2012,12,31)-211</f>
        <v>41063</v>
      </c>
      <c r="C568" s="2" t="s">
        <v>914</v>
      </c>
      <c r="D568" s="1">
        <v>35</v>
      </c>
      <c r="E568" s="1">
        <v>2004.22</v>
      </c>
      <c r="F568" s="1">
        <v>0.08</v>
      </c>
      <c r="G568" s="2" t="s">
        <v>560</v>
      </c>
      <c r="H568" s="10">
        <v>338.91</v>
      </c>
      <c r="I568" s="7">
        <v>60.65</v>
      </c>
      <c r="J568" s="7">
        <v>12.23</v>
      </c>
      <c r="K568" s="2" t="s">
        <v>314</v>
      </c>
      <c r="L568" s="16" t="s">
        <v>919</v>
      </c>
      <c r="M568" s="4" t="s">
        <v>563</v>
      </c>
      <c r="N568" s="2" t="s">
        <v>565</v>
      </c>
      <c r="O568" s="2" t="s">
        <v>570</v>
      </c>
      <c r="P568" s="2" t="s">
        <v>579</v>
      </c>
      <c r="Q568" s="1" t="s">
        <v>630</v>
      </c>
      <c r="R568" s="2" t="s">
        <v>589</v>
      </c>
      <c r="S568" s="8">
        <f>B568+2</f>
        <v>41065</v>
      </c>
    </row>
    <row r="569" spans="1:19" x14ac:dyDescent="0.15">
      <c r="A569" s="1">
        <v>44836</v>
      </c>
      <c r="B569" s="6">
        <f>DATE(2012,12,31)-1207</f>
        <v>40067</v>
      </c>
      <c r="C569" s="2" t="s">
        <v>914</v>
      </c>
      <c r="D569" s="1">
        <v>21</v>
      </c>
      <c r="E569" s="1">
        <v>125.79</v>
      </c>
      <c r="F569" s="1">
        <v>0.02</v>
      </c>
      <c r="G569" s="2" t="s">
        <v>560</v>
      </c>
      <c r="H569" s="10">
        <v>28.526000000000003</v>
      </c>
      <c r="I569" s="7">
        <v>5.98</v>
      </c>
      <c r="J569" s="7">
        <v>1.49</v>
      </c>
      <c r="K569" s="2" t="s">
        <v>826</v>
      </c>
      <c r="L569" s="16" t="s">
        <v>919</v>
      </c>
      <c r="M569" s="4" t="s">
        <v>563</v>
      </c>
      <c r="N569" s="2" t="s">
        <v>567</v>
      </c>
      <c r="O569" s="2" t="s">
        <v>568</v>
      </c>
      <c r="P569" s="2" t="s">
        <v>88</v>
      </c>
      <c r="Q569" s="1" t="s">
        <v>448</v>
      </c>
      <c r="R569" s="2" t="s">
        <v>585</v>
      </c>
      <c r="S569" s="8">
        <f>B569+1</f>
        <v>40068</v>
      </c>
    </row>
    <row r="570" spans="1:19" x14ac:dyDescent="0.15">
      <c r="A570" s="1">
        <v>45120</v>
      </c>
      <c r="B570" s="6">
        <f>DATE(2012,12,31)-1362</f>
        <v>39912</v>
      </c>
      <c r="C570" s="2" t="s">
        <v>917</v>
      </c>
      <c r="D570" s="1">
        <v>39</v>
      </c>
      <c r="E570" s="1">
        <v>14591.44</v>
      </c>
      <c r="F570" s="1">
        <v>7.0000000000000007E-2</v>
      </c>
      <c r="G570" s="2" t="s">
        <v>562</v>
      </c>
      <c r="H570" s="10">
        <v>5475.8</v>
      </c>
      <c r="I570" s="7">
        <v>400.97</v>
      </c>
      <c r="J570" s="7">
        <v>48.26</v>
      </c>
      <c r="K570" s="2" t="s">
        <v>905</v>
      </c>
      <c r="L570" s="16" t="s">
        <v>919</v>
      </c>
      <c r="M570" s="4" t="s">
        <v>563</v>
      </c>
      <c r="N570" s="2" t="s">
        <v>566</v>
      </c>
      <c r="O570" s="2" t="s">
        <v>569</v>
      </c>
      <c r="P570" s="2" t="s">
        <v>583</v>
      </c>
      <c r="Q570" s="1" t="s">
        <v>342</v>
      </c>
      <c r="R570" s="2" t="s">
        <v>588</v>
      </c>
      <c r="S570" s="8">
        <f>B570+1</f>
        <v>39913</v>
      </c>
    </row>
    <row r="571" spans="1:19" x14ac:dyDescent="0.15">
      <c r="A571" s="1">
        <v>45158</v>
      </c>
      <c r="B571" s="6">
        <f>DATE(2012,12,31)-996</f>
        <v>40278</v>
      </c>
      <c r="C571" s="2" t="s">
        <v>916</v>
      </c>
      <c r="D571" s="1">
        <v>40</v>
      </c>
      <c r="E571" s="1">
        <v>375.52</v>
      </c>
      <c r="F571" s="1">
        <v>0.09</v>
      </c>
      <c r="G571" s="2" t="s">
        <v>560</v>
      </c>
      <c r="H571" s="10">
        <v>131.69999999999999</v>
      </c>
      <c r="I571" s="7">
        <v>9.68</v>
      </c>
      <c r="J571" s="7">
        <v>2.0299999999999998</v>
      </c>
      <c r="K571" s="2" t="s">
        <v>806</v>
      </c>
      <c r="L571" s="16" t="s">
        <v>919</v>
      </c>
      <c r="M571" s="4" t="s">
        <v>563</v>
      </c>
      <c r="N571" s="2" t="s">
        <v>567</v>
      </c>
      <c r="O571" s="2" t="s">
        <v>568</v>
      </c>
      <c r="P571" s="2" t="s">
        <v>573</v>
      </c>
      <c r="Q571" s="1" t="s">
        <v>673</v>
      </c>
      <c r="R571" s="2" t="s">
        <v>584</v>
      </c>
      <c r="S571" s="8">
        <f>B571+2</f>
        <v>40280</v>
      </c>
    </row>
    <row r="572" spans="1:19" x14ac:dyDescent="0.15">
      <c r="A572" s="1">
        <v>45158</v>
      </c>
      <c r="B572" s="6">
        <f>DATE(2012,12,31)-996</f>
        <v>40278</v>
      </c>
      <c r="C572" s="2" t="s">
        <v>916</v>
      </c>
      <c r="D572" s="1">
        <v>15</v>
      </c>
      <c r="E572" s="1">
        <v>63.84</v>
      </c>
      <c r="F572" s="1">
        <v>0.03</v>
      </c>
      <c r="G572" s="2" t="s">
        <v>561</v>
      </c>
      <c r="H572" s="10">
        <v>23.52</v>
      </c>
      <c r="I572" s="7">
        <v>3.78</v>
      </c>
      <c r="J572" s="7">
        <v>0.71</v>
      </c>
      <c r="K572" s="2" t="s">
        <v>806</v>
      </c>
      <c r="L572" s="16" t="s">
        <v>919</v>
      </c>
      <c r="M572" s="4" t="s">
        <v>563</v>
      </c>
      <c r="N572" s="2" t="s">
        <v>567</v>
      </c>
      <c r="O572" s="2" t="s">
        <v>568</v>
      </c>
      <c r="P572" s="2" t="s">
        <v>580</v>
      </c>
      <c r="Q572" s="1" t="s">
        <v>128</v>
      </c>
      <c r="R572" s="2" t="s">
        <v>584</v>
      </c>
      <c r="S572" s="8">
        <f>B572+5</f>
        <v>40283</v>
      </c>
    </row>
    <row r="573" spans="1:19" x14ac:dyDescent="0.15">
      <c r="A573" s="1">
        <v>45254</v>
      </c>
      <c r="B573" s="6">
        <f>DATE(2012,12,31)-889</f>
        <v>40385</v>
      </c>
      <c r="C573" s="2" t="s">
        <v>913</v>
      </c>
      <c r="D573" s="1">
        <v>45</v>
      </c>
      <c r="E573" s="1">
        <v>3327.84</v>
      </c>
      <c r="F573" s="1">
        <v>0.06</v>
      </c>
      <c r="G573" s="2" t="s">
        <v>562</v>
      </c>
      <c r="H573" s="10">
        <v>-3033.57</v>
      </c>
      <c r="I573" s="7">
        <v>70.89</v>
      </c>
      <c r="J573" s="7">
        <v>89.3</v>
      </c>
      <c r="K573" s="2" t="s">
        <v>831</v>
      </c>
      <c r="L573" s="16" t="s">
        <v>919</v>
      </c>
      <c r="M573" s="4" t="s">
        <v>563</v>
      </c>
      <c r="N573" s="2" t="s">
        <v>564</v>
      </c>
      <c r="O573" s="2" t="s">
        <v>570</v>
      </c>
      <c r="P573" s="2" t="s">
        <v>578</v>
      </c>
      <c r="Q573" s="1" t="s">
        <v>149</v>
      </c>
      <c r="R573" s="2" t="s">
        <v>588</v>
      </c>
      <c r="S573" s="8">
        <f>B573+1</f>
        <v>40386</v>
      </c>
    </row>
    <row r="574" spans="1:19" x14ac:dyDescent="0.15">
      <c r="A574" s="1">
        <v>45315</v>
      </c>
      <c r="B574" s="6">
        <f>DATE(2012,12,31)-255</f>
        <v>41019</v>
      </c>
      <c r="C574" s="2" t="s">
        <v>914</v>
      </c>
      <c r="D574" s="1">
        <v>32</v>
      </c>
      <c r="E574" s="1">
        <v>1141.9000000000001</v>
      </c>
      <c r="F574" s="1">
        <v>0.02</v>
      </c>
      <c r="G574" s="2" t="s">
        <v>560</v>
      </c>
      <c r="H574" s="10">
        <v>175.32</v>
      </c>
      <c r="I574" s="7">
        <v>34.76</v>
      </c>
      <c r="J574" s="7">
        <v>8.2200000000000006</v>
      </c>
      <c r="K574" s="2" t="s">
        <v>771</v>
      </c>
      <c r="L574" s="16" t="s">
        <v>919</v>
      </c>
      <c r="M574" s="4" t="s">
        <v>563</v>
      </c>
      <c r="N574" s="2" t="s">
        <v>566</v>
      </c>
      <c r="O574" s="2" t="s">
        <v>568</v>
      </c>
      <c r="P574" s="2" t="s">
        <v>577</v>
      </c>
      <c r="Q574" s="1" t="s">
        <v>665</v>
      </c>
      <c r="R574" s="2" t="s">
        <v>585</v>
      </c>
      <c r="S574" s="8">
        <f>B574+1</f>
        <v>41020</v>
      </c>
    </row>
    <row r="575" spans="1:19" x14ac:dyDescent="0.15">
      <c r="A575" s="1">
        <v>45380</v>
      </c>
      <c r="B575" s="6">
        <f>DATE(2012,12,31)-1341</f>
        <v>39933</v>
      </c>
      <c r="C575" s="2" t="s">
        <v>917</v>
      </c>
      <c r="D575" s="1">
        <v>34</v>
      </c>
      <c r="E575" s="1">
        <v>1912.9845</v>
      </c>
      <c r="F575" s="1">
        <v>0.06</v>
      </c>
      <c r="G575" s="2" t="s">
        <v>561</v>
      </c>
      <c r="H575" s="10">
        <v>288.08999999999997</v>
      </c>
      <c r="I575" s="7">
        <v>65.989999999999995</v>
      </c>
      <c r="J575" s="7">
        <v>8.8000000000000007</v>
      </c>
      <c r="K575" s="2" t="s">
        <v>776</v>
      </c>
      <c r="L575" s="16" t="s">
        <v>919</v>
      </c>
      <c r="M575" s="4" t="s">
        <v>563</v>
      </c>
      <c r="N575" s="2" t="s">
        <v>566</v>
      </c>
      <c r="O575" s="2" t="s">
        <v>569</v>
      </c>
      <c r="P575" s="2" t="s">
        <v>87</v>
      </c>
      <c r="Q575" s="1" t="s">
        <v>134</v>
      </c>
      <c r="R575" s="2" t="s">
        <v>585</v>
      </c>
      <c r="S575" s="8">
        <f>B575+1</f>
        <v>39934</v>
      </c>
    </row>
    <row r="576" spans="1:19" x14ac:dyDescent="0.15">
      <c r="A576" s="1">
        <v>45380</v>
      </c>
      <c r="B576" s="6">
        <f>DATE(2012,12,31)-1341</f>
        <v>39933</v>
      </c>
      <c r="C576" s="2" t="s">
        <v>917</v>
      </c>
      <c r="D576" s="1">
        <v>24</v>
      </c>
      <c r="E576" s="1">
        <v>4170.8649999999998</v>
      </c>
      <c r="F576" s="1">
        <v>0</v>
      </c>
      <c r="G576" s="2" t="s">
        <v>561</v>
      </c>
      <c r="H576" s="10">
        <v>1030.509</v>
      </c>
      <c r="I576" s="7">
        <v>195.99</v>
      </c>
      <c r="J576" s="7">
        <v>4.2</v>
      </c>
      <c r="K576" s="2" t="s">
        <v>776</v>
      </c>
      <c r="L576" s="16" t="s">
        <v>919</v>
      </c>
      <c r="M576" s="4" t="s">
        <v>563</v>
      </c>
      <c r="N576" s="2" t="s">
        <v>566</v>
      </c>
      <c r="O576" s="2" t="s">
        <v>569</v>
      </c>
      <c r="P576" s="2" t="s">
        <v>87</v>
      </c>
      <c r="Q576" s="1" t="s">
        <v>232</v>
      </c>
      <c r="R576" s="2" t="s">
        <v>585</v>
      </c>
      <c r="S576" s="8">
        <f>B576+2</f>
        <v>39935</v>
      </c>
    </row>
    <row r="577" spans="1:19" x14ac:dyDescent="0.15">
      <c r="A577" s="1">
        <v>45409</v>
      </c>
      <c r="B577" s="6">
        <f>DATE(2012,12,31)-994</f>
        <v>40280</v>
      </c>
      <c r="C577" s="2" t="s">
        <v>917</v>
      </c>
      <c r="D577" s="1">
        <v>11</v>
      </c>
      <c r="E577" s="1">
        <v>3427.31</v>
      </c>
      <c r="F577" s="1">
        <v>0.1</v>
      </c>
      <c r="G577" s="2" t="s">
        <v>562</v>
      </c>
      <c r="H577" s="10">
        <v>124.36</v>
      </c>
      <c r="I577" s="7">
        <v>320.98</v>
      </c>
      <c r="J577" s="7">
        <v>58.95</v>
      </c>
      <c r="K577" s="2" t="s">
        <v>774</v>
      </c>
      <c r="L577" s="16" t="s">
        <v>919</v>
      </c>
      <c r="M577" s="4" t="s">
        <v>563</v>
      </c>
      <c r="N577" s="2" t="s">
        <v>567</v>
      </c>
      <c r="O577" s="2" t="s">
        <v>570</v>
      </c>
      <c r="P577" s="2" t="s">
        <v>574</v>
      </c>
      <c r="Q577" s="1" t="s">
        <v>40</v>
      </c>
      <c r="R577" s="2" t="s">
        <v>586</v>
      </c>
      <c r="S577" s="8">
        <f>B577+3</f>
        <v>40283</v>
      </c>
    </row>
    <row r="578" spans="1:19" x14ac:dyDescent="0.15">
      <c r="A578" s="1">
        <v>45409</v>
      </c>
      <c r="B578" s="6">
        <f>DATE(2012,12,31)-994</f>
        <v>40280</v>
      </c>
      <c r="C578" s="2" t="s">
        <v>917</v>
      </c>
      <c r="D578" s="1">
        <v>10</v>
      </c>
      <c r="E578" s="1">
        <v>36.26</v>
      </c>
      <c r="F578" s="1">
        <v>0.08</v>
      </c>
      <c r="G578" s="2" t="s">
        <v>560</v>
      </c>
      <c r="H578" s="10">
        <v>-28.37</v>
      </c>
      <c r="I578" s="7">
        <v>3.28</v>
      </c>
      <c r="J578" s="7">
        <v>3.97</v>
      </c>
      <c r="K578" s="2" t="s">
        <v>774</v>
      </c>
      <c r="L578" s="16" t="s">
        <v>919</v>
      </c>
      <c r="M578" s="4" t="s">
        <v>563</v>
      </c>
      <c r="N578" s="2" t="s">
        <v>567</v>
      </c>
      <c r="O578" s="2" t="s">
        <v>568</v>
      </c>
      <c r="P578" s="2" t="s">
        <v>571</v>
      </c>
      <c r="Q578" s="1" t="s">
        <v>489</v>
      </c>
      <c r="R578" s="2" t="s">
        <v>584</v>
      </c>
      <c r="S578" s="8">
        <f>B578+1</f>
        <v>40281</v>
      </c>
    </row>
    <row r="579" spans="1:19" x14ac:dyDescent="0.15">
      <c r="A579" s="1">
        <v>45409</v>
      </c>
      <c r="B579" s="6">
        <f>DATE(2012,12,31)-994</f>
        <v>40280</v>
      </c>
      <c r="C579" s="2" t="s">
        <v>917</v>
      </c>
      <c r="D579" s="1">
        <v>50</v>
      </c>
      <c r="E579" s="1">
        <v>893.13750000000005</v>
      </c>
      <c r="F579" s="1">
        <v>0</v>
      </c>
      <c r="G579" s="2" t="s">
        <v>560</v>
      </c>
      <c r="H579" s="10">
        <v>10.998000000000001</v>
      </c>
      <c r="I579" s="7">
        <v>20.99</v>
      </c>
      <c r="J579" s="7">
        <v>1.25</v>
      </c>
      <c r="K579" s="2" t="s">
        <v>774</v>
      </c>
      <c r="L579" s="16" t="s">
        <v>919</v>
      </c>
      <c r="M579" s="4" t="s">
        <v>563</v>
      </c>
      <c r="N579" s="2" t="s">
        <v>567</v>
      </c>
      <c r="O579" s="2" t="s">
        <v>569</v>
      </c>
      <c r="P579" s="2" t="s">
        <v>87</v>
      </c>
      <c r="Q579" s="1" t="s">
        <v>606</v>
      </c>
      <c r="R579" s="2" t="s">
        <v>587</v>
      </c>
      <c r="S579" s="8">
        <f>B579+3</f>
        <v>40283</v>
      </c>
    </row>
    <row r="580" spans="1:19" x14ac:dyDescent="0.15">
      <c r="A580" s="1">
        <v>45539</v>
      </c>
      <c r="B580" s="6">
        <f>DATE(2012,12,31)-1247</f>
        <v>40027</v>
      </c>
      <c r="C580" s="2" t="s">
        <v>915</v>
      </c>
      <c r="D580" s="1">
        <v>15</v>
      </c>
      <c r="E580" s="1">
        <v>269.2</v>
      </c>
      <c r="F580" s="1">
        <v>0.02</v>
      </c>
      <c r="G580" s="2" t="s">
        <v>561</v>
      </c>
      <c r="H580" s="10">
        <v>69.61</v>
      </c>
      <c r="I580" s="7">
        <v>16.48</v>
      </c>
      <c r="J580" s="7">
        <v>1.99</v>
      </c>
      <c r="K580" s="2" t="s">
        <v>766</v>
      </c>
      <c r="L580" s="16" t="s">
        <v>919</v>
      </c>
      <c r="M580" s="4" t="s">
        <v>563</v>
      </c>
      <c r="N580" s="2" t="s">
        <v>567</v>
      </c>
      <c r="O580" s="2" t="s">
        <v>569</v>
      </c>
      <c r="P580" s="2" t="s">
        <v>572</v>
      </c>
      <c r="Q580" s="1" t="s">
        <v>76</v>
      </c>
      <c r="R580" s="2" t="s">
        <v>587</v>
      </c>
      <c r="S580" s="8">
        <f>B580+2</f>
        <v>40029</v>
      </c>
    </row>
    <row r="581" spans="1:19" x14ac:dyDescent="0.15">
      <c r="A581" s="1">
        <v>45539</v>
      </c>
      <c r="B581" s="6">
        <f>DATE(2012,12,31)-1247</f>
        <v>40027</v>
      </c>
      <c r="C581" s="2" t="s">
        <v>915</v>
      </c>
      <c r="D581" s="1">
        <v>27</v>
      </c>
      <c r="E581" s="1">
        <v>87.33</v>
      </c>
      <c r="F581" s="1">
        <v>0.08</v>
      </c>
      <c r="G581" s="2" t="s">
        <v>560</v>
      </c>
      <c r="H581" s="10">
        <v>13.82</v>
      </c>
      <c r="I581" s="7">
        <v>3.38</v>
      </c>
      <c r="J581" s="7">
        <v>0.85</v>
      </c>
      <c r="K581" s="2" t="s">
        <v>766</v>
      </c>
      <c r="L581" s="16" t="s">
        <v>919</v>
      </c>
      <c r="M581" s="4" t="s">
        <v>563</v>
      </c>
      <c r="N581" s="2" t="s">
        <v>567</v>
      </c>
      <c r="O581" s="2" t="s">
        <v>568</v>
      </c>
      <c r="P581" s="2" t="s">
        <v>571</v>
      </c>
      <c r="Q581" s="1" t="s">
        <v>206</v>
      </c>
      <c r="R581" s="2" t="s">
        <v>584</v>
      </c>
      <c r="S581" s="8">
        <f>B581+2</f>
        <v>40029</v>
      </c>
    </row>
    <row r="582" spans="1:19" x14ac:dyDescent="0.15">
      <c r="A582" s="1">
        <v>45605</v>
      </c>
      <c r="B582" s="6">
        <f>DATE(2012,12,31)-996</f>
        <v>40278</v>
      </c>
      <c r="C582" s="2" t="s">
        <v>914</v>
      </c>
      <c r="D582" s="1">
        <v>7</v>
      </c>
      <c r="E582" s="1">
        <v>1494.27</v>
      </c>
      <c r="F582" s="1">
        <v>0.05</v>
      </c>
      <c r="G582" s="2" t="s">
        <v>562</v>
      </c>
      <c r="H582" s="10">
        <v>-248.78</v>
      </c>
      <c r="I582" s="7">
        <v>212.6</v>
      </c>
      <c r="J582" s="7">
        <v>52.2</v>
      </c>
      <c r="K582" s="2" t="s">
        <v>862</v>
      </c>
      <c r="L582" s="16" t="s">
        <v>919</v>
      </c>
      <c r="M582" s="4" t="s">
        <v>563</v>
      </c>
      <c r="N582" s="2" t="s">
        <v>565</v>
      </c>
      <c r="O582" s="2" t="s">
        <v>570</v>
      </c>
      <c r="P582" s="2" t="s">
        <v>578</v>
      </c>
      <c r="Q582" s="1" t="s">
        <v>389</v>
      </c>
      <c r="R582" s="2" t="s">
        <v>588</v>
      </c>
      <c r="S582" s="8">
        <f>B582+2</f>
        <v>40280</v>
      </c>
    </row>
    <row r="583" spans="1:19" x14ac:dyDescent="0.15">
      <c r="A583" s="1">
        <v>45664</v>
      </c>
      <c r="B583" s="6">
        <f>DATE(2012,12,31)-205</f>
        <v>41069</v>
      </c>
      <c r="C583" s="2" t="s">
        <v>915</v>
      </c>
      <c r="D583" s="1">
        <v>24</v>
      </c>
      <c r="E583" s="1">
        <v>473.03</v>
      </c>
      <c r="F583" s="1">
        <v>0.09</v>
      </c>
      <c r="G583" s="2" t="s">
        <v>560</v>
      </c>
      <c r="H583" s="10">
        <v>26.27</v>
      </c>
      <c r="I583" s="7">
        <v>19.98</v>
      </c>
      <c r="J583" s="7">
        <v>10.49</v>
      </c>
      <c r="K583" s="2" t="s">
        <v>842</v>
      </c>
      <c r="L583" s="16" t="s">
        <v>919</v>
      </c>
      <c r="M583" s="4" t="s">
        <v>563</v>
      </c>
      <c r="N583" s="2" t="s">
        <v>564</v>
      </c>
      <c r="O583" s="2" t="s">
        <v>570</v>
      </c>
      <c r="P583" s="2" t="s">
        <v>579</v>
      </c>
      <c r="Q583" s="1" t="s">
        <v>123</v>
      </c>
      <c r="R583" s="2" t="s">
        <v>585</v>
      </c>
      <c r="S583" s="8">
        <f>B583+1</f>
        <v>41070</v>
      </c>
    </row>
    <row r="584" spans="1:19" x14ac:dyDescent="0.15">
      <c r="A584" s="1">
        <v>45671</v>
      </c>
      <c r="B584" s="6">
        <f>DATE(2012,12,31)-568</f>
        <v>40706</v>
      </c>
      <c r="C584" s="2" t="s">
        <v>916</v>
      </c>
      <c r="D584" s="1">
        <v>13</v>
      </c>
      <c r="E584" s="1">
        <v>126.68</v>
      </c>
      <c r="F584" s="1">
        <v>0.05</v>
      </c>
      <c r="G584" s="2" t="s">
        <v>560</v>
      </c>
      <c r="H584" s="10">
        <v>7</v>
      </c>
      <c r="I584" s="7">
        <v>9.77</v>
      </c>
      <c r="J584" s="7">
        <v>6.02</v>
      </c>
      <c r="K584" s="2" t="s">
        <v>776</v>
      </c>
      <c r="L584" s="16" t="s">
        <v>919</v>
      </c>
      <c r="M584" s="4" t="s">
        <v>563</v>
      </c>
      <c r="N584" s="2" t="s">
        <v>566</v>
      </c>
      <c r="O584" s="2" t="s">
        <v>570</v>
      </c>
      <c r="P584" s="2" t="s">
        <v>579</v>
      </c>
      <c r="Q584" s="1" t="s">
        <v>549</v>
      </c>
      <c r="R584" s="2" t="s">
        <v>589</v>
      </c>
      <c r="S584" s="8">
        <f>B584+7</f>
        <v>40713</v>
      </c>
    </row>
    <row r="585" spans="1:19" x14ac:dyDescent="0.15">
      <c r="A585" s="1">
        <v>45728</v>
      </c>
      <c r="B585" s="6">
        <f>DATE(2012,12,31)-924</f>
        <v>40350</v>
      </c>
      <c r="C585" s="2" t="s">
        <v>913</v>
      </c>
      <c r="D585" s="1">
        <v>49</v>
      </c>
      <c r="E585" s="1">
        <v>1711.79</v>
      </c>
      <c r="F585" s="1">
        <v>0.01</v>
      </c>
      <c r="G585" s="2" t="s">
        <v>560</v>
      </c>
      <c r="H585" s="10">
        <v>812.32</v>
      </c>
      <c r="I585" s="7">
        <v>33.29</v>
      </c>
      <c r="J585" s="7">
        <v>1.99</v>
      </c>
      <c r="K585" s="2" t="s">
        <v>857</v>
      </c>
      <c r="L585" s="16" t="s">
        <v>919</v>
      </c>
      <c r="M585" s="4" t="s">
        <v>563</v>
      </c>
      <c r="N585" s="2" t="s">
        <v>565</v>
      </c>
      <c r="O585" s="2" t="s">
        <v>569</v>
      </c>
      <c r="P585" s="2" t="s">
        <v>572</v>
      </c>
      <c r="Q585" s="1" t="s">
        <v>100</v>
      </c>
      <c r="R585" s="2" t="s">
        <v>587</v>
      </c>
      <c r="S585" s="8">
        <f>B585+1</f>
        <v>40351</v>
      </c>
    </row>
    <row r="586" spans="1:19" x14ac:dyDescent="0.15">
      <c r="A586" s="1">
        <v>45762</v>
      </c>
      <c r="B586" s="6">
        <f>DATE(2012,12,31)-894</f>
        <v>40380</v>
      </c>
      <c r="C586" s="2" t="s">
        <v>916</v>
      </c>
      <c r="D586" s="1">
        <v>21</v>
      </c>
      <c r="E586" s="1">
        <v>793.85</v>
      </c>
      <c r="F586" s="1">
        <v>0.01</v>
      </c>
      <c r="G586" s="2" t="s">
        <v>560</v>
      </c>
      <c r="H586" s="10">
        <v>308.52999999999997</v>
      </c>
      <c r="I586" s="7">
        <v>37.94</v>
      </c>
      <c r="J586" s="7">
        <v>5.08</v>
      </c>
      <c r="K586" s="2" t="s">
        <v>858</v>
      </c>
      <c r="L586" s="16" t="s">
        <v>919</v>
      </c>
      <c r="M586" s="4" t="s">
        <v>563</v>
      </c>
      <c r="N586" s="2" t="s">
        <v>567</v>
      </c>
      <c r="O586" s="2" t="s">
        <v>568</v>
      </c>
      <c r="P586" s="2" t="s">
        <v>573</v>
      </c>
      <c r="Q586" s="1" t="s">
        <v>633</v>
      </c>
      <c r="R586" s="2" t="s">
        <v>584</v>
      </c>
      <c r="S586" s="8">
        <f>B586+5</f>
        <v>40385</v>
      </c>
    </row>
    <row r="587" spans="1:19" x14ac:dyDescent="0.15">
      <c r="A587" s="1">
        <v>46151</v>
      </c>
      <c r="B587" s="6">
        <f>DATE(2012,12,31)-1149</f>
        <v>40125</v>
      </c>
      <c r="C587" s="2" t="s">
        <v>917</v>
      </c>
      <c r="D587" s="1">
        <v>23</v>
      </c>
      <c r="E587" s="1">
        <v>203.91</v>
      </c>
      <c r="F587" s="1">
        <v>0.02</v>
      </c>
      <c r="G587" s="2" t="s">
        <v>560</v>
      </c>
      <c r="H587" s="10">
        <v>-35.442999999999998</v>
      </c>
      <c r="I587" s="7">
        <v>8.6</v>
      </c>
      <c r="J587" s="7">
        <v>6.19</v>
      </c>
      <c r="K587" s="2" t="s">
        <v>879</v>
      </c>
      <c r="L587" s="16" t="s">
        <v>919</v>
      </c>
      <c r="M587" s="4" t="s">
        <v>563</v>
      </c>
      <c r="N587" s="2" t="s">
        <v>567</v>
      </c>
      <c r="O587" s="2" t="s">
        <v>568</v>
      </c>
      <c r="P587" s="2" t="s">
        <v>88</v>
      </c>
      <c r="Q587" s="1" t="s">
        <v>746</v>
      </c>
      <c r="R587" s="2" t="s">
        <v>585</v>
      </c>
      <c r="S587" s="8">
        <f>B587+2</f>
        <v>40127</v>
      </c>
    </row>
    <row r="588" spans="1:19" x14ac:dyDescent="0.15">
      <c r="A588" s="1">
        <v>46407</v>
      </c>
      <c r="B588" s="6">
        <f>DATE(2012,12,31)-1376</f>
        <v>39898</v>
      </c>
      <c r="C588" s="2" t="s">
        <v>915</v>
      </c>
      <c r="D588" s="1">
        <v>7</v>
      </c>
      <c r="E588" s="1">
        <v>38.369999999999997</v>
      </c>
      <c r="F588" s="1">
        <v>0.1</v>
      </c>
      <c r="G588" s="2" t="s">
        <v>560</v>
      </c>
      <c r="H588" s="10">
        <v>-29.003</v>
      </c>
      <c r="I588" s="7">
        <v>5.18</v>
      </c>
      <c r="J588" s="7">
        <v>5.74</v>
      </c>
      <c r="K588" s="2" t="s">
        <v>841</v>
      </c>
      <c r="L588" s="16" t="s">
        <v>919</v>
      </c>
      <c r="M588" s="4" t="s">
        <v>563</v>
      </c>
      <c r="N588" s="2" t="s">
        <v>567</v>
      </c>
      <c r="O588" s="2" t="s">
        <v>568</v>
      </c>
      <c r="P588" s="2" t="s">
        <v>88</v>
      </c>
      <c r="Q588" s="1" t="s">
        <v>152</v>
      </c>
      <c r="R588" s="2" t="s">
        <v>585</v>
      </c>
      <c r="S588" s="8">
        <f>B588+2</f>
        <v>39900</v>
      </c>
    </row>
    <row r="589" spans="1:19" x14ac:dyDescent="0.15">
      <c r="A589" s="1">
        <v>46499</v>
      </c>
      <c r="B589" s="6">
        <f>DATE(2012,12,31)-1303</f>
        <v>39971</v>
      </c>
      <c r="C589" s="2" t="s">
        <v>917</v>
      </c>
      <c r="D589" s="1">
        <v>1</v>
      </c>
      <c r="E589" s="1">
        <v>46.94</v>
      </c>
      <c r="F589" s="1">
        <v>0.06</v>
      </c>
      <c r="G589" s="2" t="s">
        <v>560</v>
      </c>
      <c r="H589" s="10">
        <v>-26.54</v>
      </c>
      <c r="I589" s="7">
        <v>44.01</v>
      </c>
      <c r="J589" s="7">
        <v>3.5</v>
      </c>
      <c r="K589" s="2" t="s">
        <v>897</v>
      </c>
      <c r="L589" s="16" t="s">
        <v>919</v>
      </c>
      <c r="M589" s="4" t="s">
        <v>563</v>
      </c>
      <c r="N589" s="2" t="s">
        <v>564</v>
      </c>
      <c r="O589" s="2" t="s">
        <v>568</v>
      </c>
      <c r="P589" s="2" t="s">
        <v>576</v>
      </c>
      <c r="Q589" s="1" t="s">
        <v>328</v>
      </c>
      <c r="R589" s="2" t="s">
        <v>585</v>
      </c>
      <c r="S589" s="8">
        <f>B589+1</f>
        <v>39972</v>
      </c>
    </row>
    <row r="590" spans="1:19" x14ac:dyDescent="0.15">
      <c r="A590" s="1">
        <v>46499</v>
      </c>
      <c r="B590" s="6">
        <f>DATE(2012,12,31)-1303</f>
        <v>39971</v>
      </c>
      <c r="C590" s="2" t="s">
        <v>917</v>
      </c>
      <c r="D590" s="1">
        <v>22</v>
      </c>
      <c r="E590" s="1">
        <v>89.96</v>
      </c>
      <c r="F590" s="1">
        <v>7.0000000000000007E-2</v>
      </c>
      <c r="G590" s="2" t="s">
        <v>560</v>
      </c>
      <c r="H590" s="10">
        <v>-115.21</v>
      </c>
      <c r="I590" s="7">
        <v>4.0599999999999996</v>
      </c>
      <c r="J590" s="7">
        <v>6.89</v>
      </c>
      <c r="K590" s="2" t="s">
        <v>897</v>
      </c>
      <c r="L590" s="16" t="s">
        <v>919</v>
      </c>
      <c r="M590" s="4" t="s">
        <v>563</v>
      </c>
      <c r="N590" s="2" t="s">
        <v>564</v>
      </c>
      <c r="O590" s="2" t="s">
        <v>568</v>
      </c>
      <c r="P590" s="2" t="s">
        <v>576</v>
      </c>
      <c r="Q590" s="1" t="s">
        <v>143</v>
      </c>
      <c r="R590" s="2" t="s">
        <v>585</v>
      </c>
      <c r="S590" s="8">
        <f>B590+2</f>
        <v>39973</v>
      </c>
    </row>
    <row r="591" spans="1:19" x14ac:dyDescent="0.15">
      <c r="A591" s="1">
        <v>46499</v>
      </c>
      <c r="B591" s="6">
        <f>DATE(2012,12,31)-1303</f>
        <v>39971</v>
      </c>
      <c r="C591" s="2" t="s">
        <v>917</v>
      </c>
      <c r="D591" s="1">
        <v>10</v>
      </c>
      <c r="E591" s="1">
        <v>12.95</v>
      </c>
      <c r="F591" s="1">
        <v>0.1</v>
      </c>
      <c r="G591" s="2" t="s">
        <v>560</v>
      </c>
      <c r="H591" s="10">
        <v>-6.78</v>
      </c>
      <c r="I591" s="7">
        <v>1.26</v>
      </c>
      <c r="J591" s="7">
        <v>0.7</v>
      </c>
      <c r="K591" s="2" t="s">
        <v>897</v>
      </c>
      <c r="L591" s="16" t="s">
        <v>919</v>
      </c>
      <c r="M591" s="4" t="s">
        <v>563</v>
      </c>
      <c r="N591" s="2" t="s">
        <v>564</v>
      </c>
      <c r="O591" s="2" t="s">
        <v>568</v>
      </c>
      <c r="P591" s="2" t="s">
        <v>580</v>
      </c>
      <c r="Q591" s="1" t="s">
        <v>430</v>
      </c>
      <c r="R591" s="2" t="s">
        <v>584</v>
      </c>
      <c r="S591" s="8">
        <f>B591+1</f>
        <v>39972</v>
      </c>
    </row>
    <row r="592" spans="1:19" x14ac:dyDescent="0.15">
      <c r="A592" s="1">
        <v>46631</v>
      </c>
      <c r="B592" s="6">
        <f>DATE(2012,12,31)-295</f>
        <v>40979</v>
      </c>
      <c r="C592" s="2" t="s">
        <v>915</v>
      </c>
      <c r="D592" s="1">
        <v>39</v>
      </c>
      <c r="E592" s="1">
        <v>930.84</v>
      </c>
      <c r="F592" s="1">
        <v>0.05</v>
      </c>
      <c r="G592" s="2" t="s">
        <v>560</v>
      </c>
      <c r="H592" s="10">
        <v>-122.12</v>
      </c>
      <c r="I592" s="7">
        <v>22.84</v>
      </c>
      <c r="J592" s="7">
        <v>16.920000000000002</v>
      </c>
      <c r="K592" s="2" t="s">
        <v>800</v>
      </c>
      <c r="L592" s="16" t="s">
        <v>919</v>
      </c>
      <c r="M592" s="4" t="s">
        <v>563</v>
      </c>
      <c r="N592" s="2" t="s">
        <v>567</v>
      </c>
      <c r="O592" s="2" t="s">
        <v>568</v>
      </c>
      <c r="P592" s="2" t="s">
        <v>573</v>
      </c>
      <c r="Q592" s="1" t="s">
        <v>71</v>
      </c>
      <c r="R592" s="2" t="s">
        <v>585</v>
      </c>
      <c r="S592" s="8">
        <f t="shared" ref="S592:S598" si="4">B592+2</f>
        <v>40981</v>
      </c>
    </row>
    <row r="593" spans="1:19" x14ac:dyDescent="0.15">
      <c r="A593" s="1">
        <v>46662</v>
      </c>
      <c r="B593" s="6">
        <f>DATE(2012,12,31)-368</f>
        <v>40906</v>
      </c>
      <c r="C593" s="2" t="s">
        <v>917</v>
      </c>
      <c r="D593" s="1">
        <v>8</v>
      </c>
      <c r="E593" s="1">
        <v>57.22</v>
      </c>
      <c r="F593" s="1">
        <v>7.0000000000000007E-2</v>
      </c>
      <c r="G593" s="2" t="s">
        <v>560</v>
      </c>
      <c r="H593" s="10">
        <v>-27.72</v>
      </c>
      <c r="I593" s="7">
        <v>6.48</v>
      </c>
      <c r="J593" s="7">
        <v>6.6</v>
      </c>
      <c r="K593" s="2" t="s">
        <v>860</v>
      </c>
      <c r="L593" s="16" t="s">
        <v>919</v>
      </c>
      <c r="M593" s="4" t="s">
        <v>563</v>
      </c>
      <c r="N593" s="2" t="s">
        <v>564</v>
      </c>
      <c r="O593" s="2" t="s">
        <v>568</v>
      </c>
      <c r="P593" s="2" t="s">
        <v>573</v>
      </c>
      <c r="Q593" s="1" t="s">
        <v>669</v>
      </c>
      <c r="R593" s="2" t="s">
        <v>585</v>
      </c>
      <c r="S593" s="8">
        <f t="shared" si="4"/>
        <v>40908</v>
      </c>
    </row>
    <row r="594" spans="1:19" x14ac:dyDescent="0.15">
      <c r="A594" s="1">
        <v>46662</v>
      </c>
      <c r="B594" s="6">
        <f>DATE(2012,12,31)-368</f>
        <v>40906</v>
      </c>
      <c r="C594" s="2" t="s">
        <v>917</v>
      </c>
      <c r="D594" s="1">
        <v>33</v>
      </c>
      <c r="E594" s="1">
        <v>162</v>
      </c>
      <c r="F594" s="1">
        <v>0.01</v>
      </c>
      <c r="G594" s="2" t="s">
        <v>560</v>
      </c>
      <c r="H594" s="10">
        <v>45.84</v>
      </c>
      <c r="I594" s="7">
        <v>4.84</v>
      </c>
      <c r="J594" s="7">
        <v>0.71</v>
      </c>
      <c r="K594" s="2" t="s">
        <v>860</v>
      </c>
      <c r="L594" s="16" t="s">
        <v>919</v>
      </c>
      <c r="M594" s="4" t="s">
        <v>563</v>
      </c>
      <c r="N594" s="2" t="s">
        <v>564</v>
      </c>
      <c r="O594" s="2" t="s">
        <v>568</v>
      </c>
      <c r="P594" s="2" t="s">
        <v>571</v>
      </c>
      <c r="Q594" s="1" t="s">
        <v>374</v>
      </c>
      <c r="R594" s="2" t="s">
        <v>584</v>
      </c>
      <c r="S594" s="8">
        <f t="shared" si="4"/>
        <v>40908</v>
      </c>
    </row>
    <row r="595" spans="1:19" x14ac:dyDescent="0.15">
      <c r="A595" s="1">
        <v>46662</v>
      </c>
      <c r="B595" s="6">
        <f>DATE(2012,12,31)-368</f>
        <v>40906</v>
      </c>
      <c r="C595" s="2" t="s">
        <v>917</v>
      </c>
      <c r="D595" s="1">
        <v>48</v>
      </c>
      <c r="E595" s="1">
        <v>3410.1574999999998</v>
      </c>
      <c r="F595" s="1">
        <v>0.1</v>
      </c>
      <c r="G595" s="2" t="s">
        <v>560</v>
      </c>
      <c r="H595" s="10">
        <v>1137.9059999999999</v>
      </c>
      <c r="I595" s="7">
        <v>85.99</v>
      </c>
      <c r="J595" s="7">
        <v>0.99</v>
      </c>
      <c r="K595" s="2" t="s">
        <v>860</v>
      </c>
      <c r="L595" s="16" t="s">
        <v>919</v>
      </c>
      <c r="M595" s="4" t="s">
        <v>563</v>
      </c>
      <c r="N595" s="2" t="s">
        <v>564</v>
      </c>
      <c r="O595" s="2" t="s">
        <v>569</v>
      </c>
      <c r="P595" s="2" t="s">
        <v>87</v>
      </c>
      <c r="Q595" s="1" t="s">
        <v>474</v>
      </c>
      <c r="R595" s="2" t="s">
        <v>584</v>
      </c>
      <c r="S595" s="8">
        <f t="shared" si="4"/>
        <v>40908</v>
      </c>
    </row>
    <row r="596" spans="1:19" x14ac:dyDescent="0.15">
      <c r="A596" s="1">
        <v>46691</v>
      </c>
      <c r="B596" s="6">
        <f>DATE(2012,12,31)-190</f>
        <v>41084</v>
      </c>
      <c r="C596" s="2" t="s">
        <v>917</v>
      </c>
      <c r="D596" s="1">
        <v>47</v>
      </c>
      <c r="E596" s="1">
        <v>1676.25</v>
      </c>
      <c r="F596" s="1">
        <v>0.04</v>
      </c>
      <c r="G596" s="2" t="s">
        <v>560</v>
      </c>
      <c r="H596" s="10">
        <v>-458.33</v>
      </c>
      <c r="I596" s="7">
        <v>36.65</v>
      </c>
      <c r="J596" s="7">
        <v>22.6</v>
      </c>
      <c r="K596" s="2" t="s">
        <v>314</v>
      </c>
      <c r="L596" s="16" t="s">
        <v>919</v>
      </c>
      <c r="M596" s="4" t="s">
        <v>563</v>
      </c>
      <c r="N596" s="2" t="s">
        <v>565</v>
      </c>
      <c r="O596" s="2" t="s">
        <v>570</v>
      </c>
      <c r="P596" s="2" t="s">
        <v>579</v>
      </c>
      <c r="Q596" s="1" t="s">
        <v>337</v>
      </c>
      <c r="R596" s="2" t="s">
        <v>590</v>
      </c>
      <c r="S596" s="8">
        <f t="shared" si="4"/>
        <v>41086</v>
      </c>
    </row>
    <row r="597" spans="1:19" x14ac:dyDescent="0.15">
      <c r="A597" s="1">
        <v>46880</v>
      </c>
      <c r="B597" s="6">
        <f>DATE(2012,12,31)-912</f>
        <v>40362</v>
      </c>
      <c r="C597" s="2" t="s">
        <v>917</v>
      </c>
      <c r="D597" s="1">
        <v>1</v>
      </c>
      <c r="E597" s="1">
        <v>29.99</v>
      </c>
      <c r="F597" s="1">
        <v>7.0000000000000007E-2</v>
      </c>
      <c r="G597" s="2" t="s">
        <v>560</v>
      </c>
      <c r="H597" s="10">
        <v>-8.8800000000000008</v>
      </c>
      <c r="I597" s="7">
        <v>21.98</v>
      </c>
      <c r="J597" s="7">
        <v>8.32</v>
      </c>
      <c r="K597" s="2" t="s">
        <v>842</v>
      </c>
      <c r="L597" s="16" t="s">
        <v>919</v>
      </c>
      <c r="M597" s="4" t="s">
        <v>563</v>
      </c>
      <c r="N597" s="2" t="s">
        <v>567</v>
      </c>
      <c r="O597" s="2" t="s">
        <v>568</v>
      </c>
      <c r="P597" s="2" t="s">
        <v>573</v>
      </c>
      <c r="Q597" s="1" t="s">
        <v>625</v>
      </c>
      <c r="R597" s="2" t="s">
        <v>584</v>
      </c>
      <c r="S597" s="8">
        <f t="shared" si="4"/>
        <v>40364</v>
      </c>
    </row>
    <row r="598" spans="1:19" x14ac:dyDescent="0.15">
      <c r="A598" s="1">
        <v>47011</v>
      </c>
      <c r="B598" s="6">
        <f>DATE(2012,12,31)-1411</f>
        <v>39863</v>
      </c>
      <c r="C598" s="2" t="s">
        <v>913</v>
      </c>
      <c r="D598" s="1">
        <v>33</v>
      </c>
      <c r="E598" s="1">
        <v>373.13</v>
      </c>
      <c r="F598" s="1">
        <v>0.05</v>
      </c>
      <c r="G598" s="2" t="s">
        <v>560</v>
      </c>
      <c r="H598" s="10">
        <v>-35.26</v>
      </c>
      <c r="I598" s="7">
        <v>11.29</v>
      </c>
      <c r="J598" s="7">
        <v>5.03</v>
      </c>
      <c r="K598" s="2" t="s">
        <v>898</v>
      </c>
      <c r="L598" s="16" t="s">
        <v>919</v>
      </c>
      <c r="M598" s="4" t="s">
        <v>563</v>
      </c>
      <c r="N598" s="2" t="s">
        <v>567</v>
      </c>
      <c r="O598" s="2" t="s">
        <v>568</v>
      </c>
      <c r="P598" s="2" t="s">
        <v>577</v>
      </c>
      <c r="Q598" s="1" t="s">
        <v>254</v>
      </c>
      <c r="R598" s="2" t="s">
        <v>585</v>
      </c>
      <c r="S598" s="8">
        <f t="shared" si="4"/>
        <v>39865</v>
      </c>
    </row>
    <row r="599" spans="1:19" x14ac:dyDescent="0.15">
      <c r="A599" s="1">
        <v>47201</v>
      </c>
      <c r="B599" s="6">
        <f>DATE(2012,12,31)-1099</f>
        <v>40175</v>
      </c>
      <c r="C599" s="2" t="s">
        <v>917</v>
      </c>
      <c r="D599" s="1">
        <v>18</v>
      </c>
      <c r="E599" s="1">
        <v>99.55</v>
      </c>
      <c r="F599" s="1">
        <v>0.03</v>
      </c>
      <c r="G599" s="2" t="s">
        <v>561</v>
      </c>
      <c r="H599" s="10">
        <v>-60.9</v>
      </c>
      <c r="I599" s="7">
        <v>4.9800000000000004</v>
      </c>
      <c r="J599" s="7">
        <v>4.62</v>
      </c>
      <c r="K599" s="2" t="s">
        <v>887</v>
      </c>
      <c r="L599" s="16" t="s">
        <v>919</v>
      </c>
      <c r="M599" s="4" t="s">
        <v>563</v>
      </c>
      <c r="N599" s="2" t="s">
        <v>567</v>
      </c>
      <c r="O599" s="2" t="s">
        <v>569</v>
      </c>
      <c r="P599" s="2" t="s">
        <v>572</v>
      </c>
      <c r="Q599" s="1" t="s">
        <v>418</v>
      </c>
      <c r="R599" s="2" t="s">
        <v>587</v>
      </c>
      <c r="S599" s="8">
        <f>B599+1</f>
        <v>40176</v>
      </c>
    </row>
    <row r="600" spans="1:19" x14ac:dyDescent="0.15">
      <c r="A600" s="1">
        <v>47457</v>
      </c>
      <c r="B600" s="6">
        <f>DATE(2012,12,31)-1307</f>
        <v>39967</v>
      </c>
      <c r="C600" s="2" t="s">
        <v>916</v>
      </c>
      <c r="D600" s="1">
        <v>50</v>
      </c>
      <c r="E600" s="1">
        <v>8230.77</v>
      </c>
      <c r="F600" s="1">
        <v>0.05</v>
      </c>
      <c r="G600" s="2" t="s">
        <v>560</v>
      </c>
      <c r="H600" s="10">
        <v>1577.02</v>
      </c>
      <c r="I600" s="7">
        <v>161.55000000000001</v>
      </c>
      <c r="J600" s="7">
        <v>19.989999999999998</v>
      </c>
      <c r="K600" s="2" t="s">
        <v>762</v>
      </c>
      <c r="L600" s="16" t="s">
        <v>919</v>
      </c>
      <c r="M600" s="4" t="s">
        <v>563</v>
      </c>
      <c r="N600" s="2" t="s">
        <v>567</v>
      </c>
      <c r="O600" s="2" t="s">
        <v>568</v>
      </c>
      <c r="P600" s="2" t="s">
        <v>577</v>
      </c>
      <c r="Q600" s="1" t="s">
        <v>8</v>
      </c>
      <c r="R600" s="2" t="s">
        <v>585</v>
      </c>
      <c r="S600" s="8">
        <f>B600+5</f>
        <v>39972</v>
      </c>
    </row>
    <row r="601" spans="1:19" x14ac:dyDescent="0.15">
      <c r="A601" s="1">
        <v>47522</v>
      </c>
      <c r="B601" s="6">
        <f>DATE(2012,12,31)-69</f>
        <v>41205</v>
      </c>
      <c r="C601" s="2" t="s">
        <v>913</v>
      </c>
      <c r="D601" s="1">
        <v>5</v>
      </c>
      <c r="E601" s="1">
        <v>80.56</v>
      </c>
      <c r="F601" s="1">
        <v>0.03</v>
      </c>
      <c r="G601" s="2" t="s">
        <v>560</v>
      </c>
      <c r="H601" s="10">
        <v>12.5</v>
      </c>
      <c r="I601" s="7">
        <v>15.67</v>
      </c>
      <c r="J601" s="7">
        <v>1.39</v>
      </c>
      <c r="K601" s="2" t="s">
        <v>806</v>
      </c>
      <c r="L601" s="16" t="s">
        <v>919</v>
      </c>
      <c r="M601" s="4" t="s">
        <v>563</v>
      </c>
      <c r="N601" s="2" t="s">
        <v>567</v>
      </c>
      <c r="O601" s="2" t="s">
        <v>568</v>
      </c>
      <c r="P601" s="2" t="s">
        <v>575</v>
      </c>
      <c r="Q601" s="1" t="s">
        <v>246</v>
      </c>
      <c r="R601" s="2" t="s">
        <v>585</v>
      </c>
      <c r="S601" s="8">
        <f>B601+1</f>
        <v>41206</v>
      </c>
    </row>
    <row r="602" spans="1:19" x14ac:dyDescent="0.15">
      <c r="A602" s="1">
        <v>47553</v>
      </c>
      <c r="B602" s="6">
        <f>DATE(2012,12,31)-589</f>
        <v>40685</v>
      </c>
      <c r="C602" s="2" t="s">
        <v>914</v>
      </c>
      <c r="D602" s="1">
        <v>49</v>
      </c>
      <c r="E602" s="1">
        <v>20701.928</v>
      </c>
      <c r="F602" s="1">
        <v>0.08</v>
      </c>
      <c r="G602" s="2" t="s">
        <v>562</v>
      </c>
      <c r="H602" s="10">
        <v>3918.54</v>
      </c>
      <c r="I602" s="7">
        <v>550.98</v>
      </c>
      <c r="J602" s="7">
        <v>45.7</v>
      </c>
      <c r="K602" s="2" t="s">
        <v>852</v>
      </c>
      <c r="L602" s="16" t="s">
        <v>919</v>
      </c>
      <c r="M602" s="4" t="s">
        <v>563</v>
      </c>
      <c r="N602" s="2" t="s">
        <v>567</v>
      </c>
      <c r="O602" s="2" t="s">
        <v>570</v>
      </c>
      <c r="P602" s="2" t="s">
        <v>578</v>
      </c>
      <c r="Q602" s="1" t="s">
        <v>136</v>
      </c>
      <c r="R602" s="2" t="s">
        <v>588</v>
      </c>
      <c r="S602" s="8">
        <f>B602+1</f>
        <v>40686</v>
      </c>
    </row>
    <row r="603" spans="1:19" x14ac:dyDescent="0.15">
      <c r="A603" s="1">
        <v>47584</v>
      </c>
      <c r="B603" s="6">
        <f>DATE(2012,12,31)-888</f>
        <v>40386</v>
      </c>
      <c r="C603" s="2" t="s">
        <v>917</v>
      </c>
      <c r="D603" s="1">
        <v>4</v>
      </c>
      <c r="E603" s="1">
        <v>20.190000000000001</v>
      </c>
      <c r="F603" s="1">
        <v>0.03</v>
      </c>
      <c r="G603" s="2" t="s">
        <v>560</v>
      </c>
      <c r="H603" s="10">
        <v>1.3</v>
      </c>
      <c r="I603" s="7">
        <v>4.91</v>
      </c>
      <c r="J603" s="7">
        <v>0.5</v>
      </c>
      <c r="K603" s="2" t="s">
        <v>802</v>
      </c>
      <c r="L603" s="16" t="s">
        <v>919</v>
      </c>
      <c r="M603" s="4" t="s">
        <v>563</v>
      </c>
      <c r="N603" s="2" t="s">
        <v>564</v>
      </c>
      <c r="O603" s="2" t="s">
        <v>568</v>
      </c>
      <c r="P603" s="2" t="s">
        <v>582</v>
      </c>
      <c r="Q603" s="1" t="s">
        <v>139</v>
      </c>
      <c r="R603" s="2" t="s">
        <v>585</v>
      </c>
      <c r="S603" s="8">
        <f>B603+2</f>
        <v>40388</v>
      </c>
    </row>
    <row r="604" spans="1:19" x14ac:dyDescent="0.15">
      <c r="A604" s="1">
        <v>47584</v>
      </c>
      <c r="B604" s="6">
        <f>DATE(2012,12,31)-888</f>
        <v>40386</v>
      </c>
      <c r="C604" s="2" t="s">
        <v>917</v>
      </c>
      <c r="D604" s="1">
        <v>43</v>
      </c>
      <c r="E604" s="1">
        <v>74.989999999999995</v>
      </c>
      <c r="F604" s="1">
        <v>0.08</v>
      </c>
      <c r="G604" s="2" t="s">
        <v>560</v>
      </c>
      <c r="H604" s="10">
        <v>-8.9499999999999993</v>
      </c>
      <c r="I604" s="7">
        <v>1.82</v>
      </c>
      <c r="J604" s="7">
        <v>0.83</v>
      </c>
      <c r="K604" s="2" t="s">
        <v>802</v>
      </c>
      <c r="L604" s="16" t="s">
        <v>919</v>
      </c>
      <c r="M604" s="4" t="s">
        <v>563</v>
      </c>
      <c r="N604" s="2" t="s">
        <v>564</v>
      </c>
      <c r="O604" s="2" t="s">
        <v>568</v>
      </c>
      <c r="P604" s="2" t="s">
        <v>571</v>
      </c>
      <c r="Q604" s="1" t="s">
        <v>329</v>
      </c>
      <c r="R604" s="2" t="s">
        <v>584</v>
      </c>
      <c r="S604" s="8">
        <f>B604+1</f>
        <v>40387</v>
      </c>
    </row>
    <row r="605" spans="1:19" x14ac:dyDescent="0.15">
      <c r="A605" s="1">
        <v>47683</v>
      </c>
      <c r="B605" s="6">
        <f>DATE(2012,12,31)-852</f>
        <v>40422</v>
      </c>
      <c r="C605" s="2" t="s">
        <v>916</v>
      </c>
      <c r="D605" s="1">
        <v>38</v>
      </c>
      <c r="E605" s="1">
        <v>81.97</v>
      </c>
      <c r="F605" s="1">
        <v>0.05</v>
      </c>
      <c r="G605" s="2" t="s">
        <v>560</v>
      </c>
      <c r="H605" s="10">
        <v>-148.79849999999999</v>
      </c>
      <c r="I605" s="7">
        <v>1.98</v>
      </c>
      <c r="J605" s="7">
        <v>4.7699999999999996</v>
      </c>
      <c r="K605" s="2" t="s">
        <v>800</v>
      </c>
      <c r="L605" s="16" t="s">
        <v>919</v>
      </c>
      <c r="M605" s="4" t="s">
        <v>563</v>
      </c>
      <c r="N605" s="2" t="s">
        <v>567</v>
      </c>
      <c r="O605" s="2" t="s">
        <v>568</v>
      </c>
      <c r="P605" s="2" t="s">
        <v>88</v>
      </c>
      <c r="Q605" s="1" t="s">
        <v>121</v>
      </c>
      <c r="R605" s="2" t="s">
        <v>585</v>
      </c>
      <c r="S605" s="8">
        <f>B605+7</f>
        <v>40429</v>
      </c>
    </row>
    <row r="606" spans="1:19" x14ac:dyDescent="0.15">
      <c r="A606" s="1">
        <v>47872</v>
      </c>
      <c r="B606" s="6">
        <f>DATE(2012,12,31)-1298</f>
        <v>39976</v>
      </c>
      <c r="C606" s="2" t="s">
        <v>917</v>
      </c>
      <c r="D606" s="1">
        <v>38</v>
      </c>
      <c r="E606" s="1">
        <v>1756.27</v>
      </c>
      <c r="F606" s="1">
        <v>0.09</v>
      </c>
      <c r="G606" s="2" t="s">
        <v>560</v>
      </c>
      <c r="H606" s="10">
        <v>649.04999999999995</v>
      </c>
      <c r="I606" s="7">
        <v>46.89</v>
      </c>
      <c r="J606" s="7">
        <v>5.0999999999999996</v>
      </c>
      <c r="K606" s="2" t="s">
        <v>838</v>
      </c>
      <c r="L606" s="16" t="s">
        <v>919</v>
      </c>
      <c r="M606" s="4" t="s">
        <v>563</v>
      </c>
      <c r="N606" s="2" t="s">
        <v>564</v>
      </c>
      <c r="O606" s="2" t="s">
        <v>568</v>
      </c>
      <c r="P606" s="2" t="s">
        <v>576</v>
      </c>
      <c r="Q606" s="1" t="s">
        <v>72</v>
      </c>
      <c r="R606" s="2" t="s">
        <v>589</v>
      </c>
      <c r="S606" s="8">
        <f>B606+2</f>
        <v>39978</v>
      </c>
    </row>
    <row r="607" spans="1:19" x14ac:dyDescent="0.15">
      <c r="A607" s="1">
        <v>47872</v>
      </c>
      <c r="B607" s="6">
        <f>DATE(2012,12,31)-1298</f>
        <v>39976</v>
      </c>
      <c r="C607" s="2" t="s">
        <v>917</v>
      </c>
      <c r="D607" s="1">
        <v>50</v>
      </c>
      <c r="E607" s="1">
        <v>345.58</v>
      </c>
      <c r="F607" s="1">
        <v>0.05</v>
      </c>
      <c r="G607" s="2" t="s">
        <v>560</v>
      </c>
      <c r="H607" s="10">
        <v>-38.04</v>
      </c>
      <c r="I607" s="7">
        <v>6.64</v>
      </c>
      <c r="J607" s="7">
        <v>4.95</v>
      </c>
      <c r="K607" s="2" t="s">
        <v>838</v>
      </c>
      <c r="L607" s="16" t="s">
        <v>919</v>
      </c>
      <c r="M607" s="4" t="s">
        <v>563</v>
      </c>
      <c r="N607" s="2" t="s">
        <v>564</v>
      </c>
      <c r="O607" s="2" t="s">
        <v>570</v>
      </c>
      <c r="P607" s="2" t="s">
        <v>579</v>
      </c>
      <c r="Q607" s="1" t="s">
        <v>751</v>
      </c>
      <c r="R607" s="2" t="s">
        <v>587</v>
      </c>
      <c r="S607" s="8">
        <f>B607+1</f>
        <v>39977</v>
      </c>
    </row>
    <row r="608" spans="1:19" x14ac:dyDescent="0.15">
      <c r="A608" s="1">
        <v>47877</v>
      </c>
      <c r="B608" s="6">
        <f>DATE(2012,12,31)-1221</f>
        <v>40053</v>
      </c>
      <c r="C608" s="2" t="s">
        <v>914</v>
      </c>
      <c r="D608" s="1">
        <v>16</v>
      </c>
      <c r="E608" s="1">
        <v>273.36</v>
      </c>
      <c r="F608" s="1">
        <v>0.04</v>
      </c>
      <c r="G608" s="2" t="s">
        <v>560</v>
      </c>
      <c r="H608" s="10">
        <v>32.25</v>
      </c>
      <c r="I608" s="7">
        <v>17.239999999999998</v>
      </c>
      <c r="J608" s="7">
        <v>3.26</v>
      </c>
      <c r="K608" s="2" t="s">
        <v>826</v>
      </c>
      <c r="L608" s="16" t="s">
        <v>919</v>
      </c>
      <c r="M608" s="4" t="s">
        <v>563</v>
      </c>
      <c r="N608" s="2" t="s">
        <v>564</v>
      </c>
      <c r="O608" s="2" t="s">
        <v>568</v>
      </c>
      <c r="P608" s="2" t="s">
        <v>89</v>
      </c>
      <c r="Q608" s="1" t="s">
        <v>534</v>
      </c>
      <c r="R608" s="2" t="s">
        <v>587</v>
      </c>
      <c r="S608" s="8">
        <f>B608+3</f>
        <v>40056</v>
      </c>
    </row>
    <row r="609" spans="1:19" x14ac:dyDescent="0.15">
      <c r="A609" s="1">
        <v>47877</v>
      </c>
      <c r="B609" s="6">
        <f>DATE(2012,12,31)-1221</f>
        <v>40053</v>
      </c>
      <c r="C609" s="2" t="s">
        <v>914</v>
      </c>
      <c r="D609" s="1">
        <v>19</v>
      </c>
      <c r="E609" s="1">
        <v>3240.7280000000001</v>
      </c>
      <c r="F609" s="1">
        <v>7.0000000000000007E-2</v>
      </c>
      <c r="G609" s="2" t="s">
        <v>562</v>
      </c>
      <c r="H609" s="10">
        <v>-691.31</v>
      </c>
      <c r="I609" s="7">
        <v>218.75</v>
      </c>
      <c r="J609" s="7">
        <v>69.64</v>
      </c>
      <c r="K609" s="2" t="s">
        <v>826</v>
      </c>
      <c r="L609" s="16" t="s">
        <v>919</v>
      </c>
      <c r="M609" s="4" t="s">
        <v>563</v>
      </c>
      <c r="N609" s="2" t="s">
        <v>564</v>
      </c>
      <c r="O609" s="2" t="s">
        <v>570</v>
      </c>
      <c r="P609" s="2" t="s">
        <v>578</v>
      </c>
      <c r="Q609" s="1" t="s">
        <v>135</v>
      </c>
      <c r="R609" s="2" t="s">
        <v>588</v>
      </c>
      <c r="S609" s="8">
        <f>B609+2</f>
        <v>40055</v>
      </c>
    </row>
    <row r="610" spans="1:19" x14ac:dyDescent="0.15">
      <c r="A610" s="1">
        <v>47877</v>
      </c>
      <c r="B610" s="6">
        <f>DATE(2012,12,31)-1221</f>
        <v>40053</v>
      </c>
      <c r="C610" s="2" t="s">
        <v>914</v>
      </c>
      <c r="D610" s="1">
        <v>49</v>
      </c>
      <c r="E610" s="1">
        <v>8058.96</v>
      </c>
      <c r="F610" s="1">
        <v>0.08</v>
      </c>
      <c r="G610" s="2" t="s">
        <v>560</v>
      </c>
      <c r="H610" s="10">
        <v>-1621.38</v>
      </c>
      <c r="I610" s="7">
        <v>209.37</v>
      </c>
      <c r="J610" s="7">
        <v>69</v>
      </c>
      <c r="K610" s="2" t="s">
        <v>826</v>
      </c>
      <c r="L610" s="16" t="s">
        <v>919</v>
      </c>
      <c r="M610" s="4" t="s">
        <v>563</v>
      </c>
      <c r="N610" s="2" t="s">
        <v>564</v>
      </c>
      <c r="O610" s="2" t="s">
        <v>570</v>
      </c>
      <c r="P610" s="2" t="s">
        <v>578</v>
      </c>
      <c r="Q610" s="1" t="s">
        <v>116</v>
      </c>
      <c r="R610" s="2" t="s">
        <v>590</v>
      </c>
      <c r="S610" s="8">
        <f>B610+2</f>
        <v>40055</v>
      </c>
    </row>
    <row r="611" spans="1:19" x14ac:dyDescent="0.15">
      <c r="A611" s="1">
        <v>47879</v>
      </c>
      <c r="B611" s="6">
        <f>DATE(2012,12,31)-355</f>
        <v>40919</v>
      </c>
      <c r="C611" s="2" t="s">
        <v>917</v>
      </c>
      <c r="D611" s="1">
        <v>19</v>
      </c>
      <c r="E611" s="1">
        <v>172.54</v>
      </c>
      <c r="F611" s="1">
        <v>0.08</v>
      </c>
      <c r="G611" s="2" t="s">
        <v>560</v>
      </c>
      <c r="H611" s="10">
        <v>44.23</v>
      </c>
      <c r="I611" s="7">
        <v>9.11</v>
      </c>
      <c r="J611" s="7">
        <v>2.15</v>
      </c>
      <c r="K611" s="2" t="s">
        <v>826</v>
      </c>
      <c r="L611" s="16" t="s">
        <v>919</v>
      </c>
      <c r="M611" s="4" t="s">
        <v>563</v>
      </c>
      <c r="N611" s="2" t="s">
        <v>567</v>
      </c>
      <c r="O611" s="2" t="s">
        <v>568</v>
      </c>
      <c r="P611" s="2" t="s">
        <v>573</v>
      </c>
      <c r="Q611" s="1" t="s">
        <v>404</v>
      </c>
      <c r="R611" s="2" t="s">
        <v>584</v>
      </c>
      <c r="S611" s="8">
        <f>B611+1</f>
        <v>40920</v>
      </c>
    </row>
    <row r="612" spans="1:19" x14ac:dyDescent="0.15">
      <c r="A612" s="1">
        <v>47910</v>
      </c>
      <c r="B612" s="6">
        <f>DATE(2012,12,31)-1234</f>
        <v>40040</v>
      </c>
      <c r="C612" s="2" t="s">
        <v>913</v>
      </c>
      <c r="D612" s="1">
        <v>30</v>
      </c>
      <c r="E612" s="1">
        <v>5290.57</v>
      </c>
      <c r="F612" s="1">
        <v>0.08</v>
      </c>
      <c r="G612" s="2" t="s">
        <v>560</v>
      </c>
      <c r="H612" s="10">
        <v>1389.18</v>
      </c>
      <c r="I612" s="7">
        <v>178.47</v>
      </c>
      <c r="J612" s="7">
        <v>19.989999999999998</v>
      </c>
      <c r="K612" s="2" t="s">
        <v>838</v>
      </c>
      <c r="L612" s="16" t="s">
        <v>919</v>
      </c>
      <c r="M612" s="4" t="s">
        <v>563</v>
      </c>
      <c r="N612" s="2" t="s">
        <v>564</v>
      </c>
      <c r="O612" s="2" t="s">
        <v>568</v>
      </c>
      <c r="P612" s="2" t="s">
        <v>577</v>
      </c>
      <c r="Q612" s="1" t="s">
        <v>535</v>
      </c>
      <c r="R612" s="2" t="s">
        <v>585</v>
      </c>
      <c r="S612" s="8">
        <f>B612+1</f>
        <v>40041</v>
      </c>
    </row>
    <row r="613" spans="1:19" x14ac:dyDescent="0.15">
      <c r="A613" s="1">
        <v>47972</v>
      </c>
      <c r="B613" s="6">
        <f>DATE(2012,12,31)-812</f>
        <v>40462</v>
      </c>
      <c r="C613" s="2" t="s">
        <v>914</v>
      </c>
      <c r="D613" s="1">
        <v>46</v>
      </c>
      <c r="E613" s="1">
        <v>7685.62</v>
      </c>
      <c r="F613" s="1">
        <v>0.02</v>
      </c>
      <c r="G613" s="2" t="s">
        <v>561</v>
      </c>
      <c r="H613" s="10">
        <v>1952.15</v>
      </c>
      <c r="I613" s="7">
        <v>165.2</v>
      </c>
      <c r="J613" s="7">
        <v>19.989999999999998</v>
      </c>
      <c r="K613" s="2" t="s">
        <v>819</v>
      </c>
      <c r="L613" s="16" t="s">
        <v>919</v>
      </c>
      <c r="M613" s="4" t="s">
        <v>563</v>
      </c>
      <c r="N613" s="2" t="s">
        <v>567</v>
      </c>
      <c r="O613" s="2" t="s">
        <v>568</v>
      </c>
      <c r="P613" s="2" t="s">
        <v>577</v>
      </c>
      <c r="Q613" s="1" t="s">
        <v>542</v>
      </c>
      <c r="R613" s="2" t="s">
        <v>585</v>
      </c>
      <c r="S613" s="8">
        <f>B613+2</f>
        <v>40464</v>
      </c>
    </row>
    <row r="614" spans="1:19" x14ac:dyDescent="0.15">
      <c r="A614" s="1">
        <v>48192</v>
      </c>
      <c r="B614" s="6">
        <f>DATE(2012,12,31)-1111</f>
        <v>40163</v>
      </c>
      <c r="C614" s="2" t="s">
        <v>917</v>
      </c>
      <c r="D614" s="1">
        <v>15</v>
      </c>
      <c r="E614" s="1">
        <v>2277.67</v>
      </c>
      <c r="F614" s="1">
        <v>0</v>
      </c>
      <c r="G614" s="2" t="s">
        <v>562</v>
      </c>
      <c r="H614" s="10">
        <v>-173.96</v>
      </c>
      <c r="I614" s="7">
        <v>140.97999999999999</v>
      </c>
      <c r="J614" s="7">
        <v>36.090000000000003</v>
      </c>
      <c r="K614" s="2" t="s">
        <v>895</v>
      </c>
      <c r="L614" s="16" t="s">
        <v>919</v>
      </c>
      <c r="M614" s="4" t="s">
        <v>563</v>
      </c>
      <c r="N614" s="2" t="s">
        <v>566</v>
      </c>
      <c r="O614" s="2" t="s">
        <v>570</v>
      </c>
      <c r="P614" s="2" t="s">
        <v>581</v>
      </c>
      <c r="Q614" s="1" t="s">
        <v>166</v>
      </c>
      <c r="R614" s="2" t="s">
        <v>588</v>
      </c>
      <c r="S614" s="8">
        <f>B614+1</f>
        <v>40164</v>
      </c>
    </row>
    <row r="615" spans="1:19" x14ac:dyDescent="0.15">
      <c r="A615" s="1">
        <v>48288</v>
      </c>
      <c r="B615" s="6">
        <f>DATE(2012,12,31)-528</f>
        <v>40746</v>
      </c>
      <c r="C615" s="2" t="s">
        <v>914</v>
      </c>
      <c r="D615" s="1">
        <v>25</v>
      </c>
      <c r="E615" s="1">
        <v>3308.28</v>
      </c>
      <c r="F615" s="1">
        <v>0.08</v>
      </c>
      <c r="G615" s="2" t="s">
        <v>562</v>
      </c>
      <c r="H615" s="10">
        <v>-581.59</v>
      </c>
      <c r="I615" s="7">
        <v>130.97999999999999</v>
      </c>
      <c r="J615" s="7">
        <v>54.74</v>
      </c>
      <c r="K615" s="2" t="s">
        <v>805</v>
      </c>
      <c r="L615" s="16" t="s">
        <v>919</v>
      </c>
      <c r="M615" s="4" t="s">
        <v>563</v>
      </c>
      <c r="N615" s="2" t="s">
        <v>566</v>
      </c>
      <c r="O615" s="2" t="s">
        <v>570</v>
      </c>
      <c r="P615" s="2" t="s">
        <v>581</v>
      </c>
      <c r="Q615" s="1" t="s">
        <v>551</v>
      </c>
      <c r="R615" s="2" t="s">
        <v>588</v>
      </c>
      <c r="S615" s="8">
        <f>B615+2</f>
        <v>40748</v>
      </c>
    </row>
    <row r="616" spans="1:19" x14ac:dyDescent="0.15">
      <c r="A616" s="1">
        <v>48293</v>
      </c>
      <c r="B616" s="6">
        <f>DATE(2012,12,31)-266</f>
        <v>41008</v>
      </c>
      <c r="C616" s="2" t="s">
        <v>917</v>
      </c>
      <c r="D616" s="1">
        <v>47</v>
      </c>
      <c r="E616" s="1">
        <v>370.6</v>
      </c>
      <c r="F616" s="1">
        <v>0.03</v>
      </c>
      <c r="G616" s="2" t="s">
        <v>560</v>
      </c>
      <c r="H616" s="10">
        <v>160.72</v>
      </c>
      <c r="I616" s="7">
        <v>7.64</v>
      </c>
      <c r="J616" s="7">
        <v>1.39</v>
      </c>
      <c r="K616" s="2" t="s">
        <v>848</v>
      </c>
      <c r="L616" s="16" t="s">
        <v>919</v>
      </c>
      <c r="M616" s="4" t="s">
        <v>563</v>
      </c>
      <c r="N616" s="2" t="s">
        <v>567</v>
      </c>
      <c r="O616" s="2" t="s">
        <v>568</v>
      </c>
      <c r="P616" s="2" t="s">
        <v>575</v>
      </c>
      <c r="Q616" s="1" t="s">
        <v>275</v>
      </c>
      <c r="R616" s="2" t="s">
        <v>585</v>
      </c>
      <c r="S616" s="8">
        <f>B616+1</f>
        <v>41009</v>
      </c>
    </row>
    <row r="617" spans="1:19" x14ac:dyDescent="0.15">
      <c r="A617" s="1">
        <v>48294</v>
      </c>
      <c r="B617" s="6">
        <f>DATE(2012,12,31)-950</f>
        <v>40324</v>
      </c>
      <c r="C617" s="2" t="s">
        <v>913</v>
      </c>
      <c r="D617" s="1">
        <v>43</v>
      </c>
      <c r="E617" s="1">
        <v>4072.01</v>
      </c>
      <c r="F617" s="1">
        <v>0.01</v>
      </c>
      <c r="G617" s="2" t="s">
        <v>560</v>
      </c>
      <c r="H617" s="10">
        <v>1675.98</v>
      </c>
      <c r="I617" s="7">
        <v>90.24</v>
      </c>
      <c r="J617" s="7">
        <v>0.99</v>
      </c>
      <c r="K617" s="2" t="s">
        <v>860</v>
      </c>
      <c r="L617" s="16" t="s">
        <v>919</v>
      </c>
      <c r="M617" s="4" t="s">
        <v>563</v>
      </c>
      <c r="N617" s="2" t="s">
        <v>564</v>
      </c>
      <c r="O617" s="2" t="s">
        <v>568</v>
      </c>
      <c r="P617" s="2" t="s">
        <v>576</v>
      </c>
      <c r="Q617" s="1" t="s">
        <v>234</v>
      </c>
      <c r="R617" s="2" t="s">
        <v>585</v>
      </c>
      <c r="S617" s="8">
        <f>B617+0</f>
        <v>40324</v>
      </c>
    </row>
    <row r="618" spans="1:19" x14ac:dyDescent="0.15">
      <c r="A618" s="1">
        <v>48322</v>
      </c>
      <c r="B618" s="6">
        <f>DATE(2012,12,31)-302</f>
        <v>40972</v>
      </c>
      <c r="C618" s="2" t="s">
        <v>914</v>
      </c>
      <c r="D618" s="1">
        <v>14</v>
      </c>
      <c r="E618" s="1">
        <v>41.37</v>
      </c>
      <c r="F618" s="1">
        <v>0.05</v>
      </c>
      <c r="G618" s="2" t="s">
        <v>560</v>
      </c>
      <c r="H618" s="10">
        <v>1.82</v>
      </c>
      <c r="I618" s="7">
        <v>2.94</v>
      </c>
      <c r="J618" s="7">
        <v>0.7</v>
      </c>
      <c r="K618" s="2" t="s">
        <v>814</v>
      </c>
      <c r="L618" s="16" t="s">
        <v>919</v>
      </c>
      <c r="M618" s="4" t="s">
        <v>563</v>
      </c>
      <c r="N618" s="2" t="s">
        <v>566</v>
      </c>
      <c r="O618" s="2" t="s">
        <v>568</v>
      </c>
      <c r="P618" s="2" t="s">
        <v>571</v>
      </c>
      <c r="Q618" s="1" t="s">
        <v>466</v>
      </c>
      <c r="R618" s="2" t="s">
        <v>584</v>
      </c>
      <c r="S618" s="8">
        <f>B618+1</f>
        <v>40973</v>
      </c>
    </row>
    <row r="619" spans="1:19" x14ac:dyDescent="0.15">
      <c r="A619" s="1">
        <v>48353</v>
      </c>
      <c r="B619" s="6">
        <f>DATE(2012,12,31)-16</f>
        <v>41258</v>
      </c>
      <c r="C619" s="2" t="s">
        <v>915</v>
      </c>
      <c r="D619" s="1">
        <v>18</v>
      </c>
      <c r="E619" s="1">
        <v>71.22</v>
      </c>
      <c r="F619" s="1">
        <v>0.04</v>
      </c>
      <c r="G619" s="2" t="s">
        <v>560</v>
      </c>
      <c r="H619" s="10">
        <v>20.43</v>
      </c>
      <c r="I619" s="7">
        <v>3.85</v>
      </c>
      <c r="J619" s="7">
        <v>0.7</v>
      </c>
      <c r="K619" s="2" t="s">
        <v>873</v>
      </c>
      <c r="L619" s="16" t="s">
        <v>919</v>
      </c>
      <c r="M619" s="4" t="s">
        <v>563</v>
      </c>
      <c r="N619" s="2" t="s">
        <v>567</v>
      </c>
      <c r="O619" s="2" t="s">
        <v>568</v>
      </c>
      <c r="P619" s="2" t="s">
        <v>571</v>
      </c>
      <c r="Q619" s="1" t="s">
        <v>317</v>
      </c>
      <c r="R619" s="2" t="s">
        <v>584</v>
      </c>
      <c r="S619" s="8">
        <f>B619+2</f>
        <v>41260</v>
      </c>
    </row>
    <row r="620" spans="1:19" x14ac:dyDescent="0.15">
      <c r="A620" s="1">
        <v>48420</v>
      </c>
      <c r="B620" s="6">
        <f>DATE(2012,12,31)-1177</f>
        <v>40097</v>
      </c>
      <c r="C620" s="2" t="s">
        <v>916</v>
      </c>
      <c r="D620" s="1">
        <v>46</v>
      </c>
      <c r="E620" s="1">
        <v>863.26</v>
      </c>
      <c r="F620" s="1">
        <v>0.09</v>
      </c>
      <c r="G620" s="2" t="s">
        <v>561</v>
      </c>
      <c r="H620" s="10">
        <v>229.6</v>
      </c>
      <c r="I620" s="7">
        <v>19.23</v>
      </c>
      <c r="J620" s="7">
        <v>6.15</v>
      </c>
      <c r="K620" s="2" t="s">
        <v>846</v>
      </c>
      <c r="L620" s="16" t="s">
        <v>919</v>
      </c>
      <c r="M620" s="4" t="s">
        <v>563</v>
      </c>
      <c r="N620" s="2" t="s">
        <v>567</v>
      </c>
      <c r="O620" s="2" t="s">
        <v>570</v>
      </c>
      <c r="P620" s="2" t="s">
        <v>579</v>
      </c>
      <c r="Q620" s="1" t="s">
        <v>197</v>
      </c>
      <c r="R620" s="2" t="s">
        <v>587</v>
      </c>
      <c r="S620" s="8">
        <f>B620+2</f>
        <v>40099</v>
      </c>
    </row>
    <row r="621" spans="1:19" x14ac:dyDescent="0.15">
      <c r="A621" s="1">
        <v>48512</v>
      </c>
      <c r="B621" s="6">
        <f>DATE(2012,12,31)-516</f>
        <v>40758</v>
      </c>
      <c r="C621" s="2" t="s">
        <v>915</v>
      </c>
      <c r="D621" s="1">
        <v>48</v>
      </c>
      <c r="E621" s="1">
        <v>238.79</v>
      </c>
      <c r="F621" s="1">
        <v>0.04</v>
      </c>
      <c r="G621" s="2" t="s">
        <v>560</v>
      </c>
      <c r="H621" s="10">
        <v>-83.78</v>
      </c>
      <c r="I621" s="7">
        <v>4.9800000000000004</v>
      </c>
      <c r="J621" s="7">
        <v>4.72</v>
      </c>
      <c r="K621" s="2" t="s">
        <v>818</v>
      </c>
      <c r="L621" s="16" t="s">
        <v>919</v>
      </c>
      <c r="M621" s="4" t="s">
        <v>563</v>
      </c>
      <c r="N621" s="2" t="s">
        <v>566</v>
      </c>
      <c r="O621" s="2" t="s">
        <v>568</v>
      </c>
      <c r="P621" s="2" t="s">
        <v>573</v>
      </c>
      <c r="Q621" s="1" t="s">
        <v>1</v>
      </c>
      <c r="R621" s="2" t="s">
        <v>585</v>
      </c>
      <c r="S621" s="8">
        <f>B621+1</f>
        <v>40759</v>
      </c>
    </row>
    <row r="622" spans="1:19" x14ac:dyDescent="0.15">
      <c r="A622" s="1">
        <v>48512</v>
      </c>
      <c r="B622" s="6">
        <f>DATE(2012,12,31)-516</f>
        <v>40758</v>
      </c>
      <c r="C622" s="2" t="s">
        <v>915</v>
      </c>
      <c r="D622" s="1">
        <v>47</v>
      </c>
      <c r="E622" s="1">
        <v>148.26</v>
      </c>
      <c r="F622" s="1">
        <v>0.04</v>
      </c>
      <c r="G622" s="2" t="s">
        <v>561</v>
      </c>
      <c r="H622" s="10">
        <v>49.04</v>
      </c>
      <c r="I622" s="7">
        <v>2.94</v>
      </c>
      <c r="J622" s="7">
        <v>0.81</v>
      </c>
      <c r="K622" s="2" t="s">
        <v>818</v>
      </c>
      <c r="L622" s="16" t="s">
        <v>919</v>
      </c>
      <c r="M622" s="4" t="s">
        <v>563</v>
      </c>
      <c r="N622" s="2" t="s">
        <v>566</v>
      </c>
      <c r="O622" s="2" t="s">
        <v>568</v>
      </c>
      <c r="P622" s="2" t="s">
        <v>571</v>
      </c>
      <c r="Q622" s="1" t="s">
        <v>655</v>
      </c>
      <c r="R622" s="2" t="s">
        <v>584</v>
      </c>
      <c r="S622" s="8">
        <f>B622+0</f>
        <v>40758</v>
      </c>
    </row>
    <row r="623" spans="1:19" x14ac:dyDescent="0.15">
      <c r="A623" s="1">
        <v>48641</v>
      </c>
      <c r="B623" s="6">
        <f>DATE(2012,12,31)-392</f>
        <v>40882</v>
      </c>
      <c r="C623" s="2" t="s">
        <v>913</v>
      </c>
      <c r="D623" s="1">
        <v>13</v>
      </c>
      <c r="E623" s="1">
        <v>66.83</v>
      </c>
      <c r="F623" s="1">
        <v>0</v>
      </c>
      <c r="G623" s="2" t="s">
        <v>560</v>
      </c>
      <c r="H623" s="10">
        <v>23.16</v>
      </c>
      <c r="I623" s="7">
        <v>4.9800000000000004</v>
      </c>
      <c r="J623" s="7">
        <v>0.8</v>
      </c>
      <c r="K623" s="2" t="s">
        <v>811</v>
      </c>
      <c r="L623" s="16" t="s">
        <v>919</v>
      </c>
      <c r="M623" s="4" t="s">
        <v>563</v>
      </c>
      <c r="N623" s="2" t="s">
        <v>565</v>
      </c>
      <c r="O623" s="2" t="s">
        <v>568</v>
      </c>
      <c r="P623" s="2" t="s">
        <v>573</v>
      </c>
      <c r="Q623" s="1" t="s">
        <v>311</v>
      </c>
      <c r="R623" s="2" t="s">
        <v>584</v>
      </c>
      <c r="S623" s="8">
        <f>B623+1</f>
        <v>40883</v>
      </c>
    </row>
    <row r="624" spans="1:19" x14ac:dyDescent="0.15">
      <c r="A624" s="1">
        <v>48672</v>
      </c>
      <c r="B624" s="6">
        <f>DATE(2012,12,31)-5</f>
        <v>41269</v>
      </c>
      <c r="C624" s="2" t="s">
        <v>913</v>
      </c>
      <c r="D624" s="1">
        <v>43</v>
      </c>
      <c r="E624" s="1">
        <v>255.7</v>
      </c>
      <c r="F624" s="1">
        <v>0</v>
      </c>
      <c r="G624" s="2" t="s">
        <v>560</v>
      </c>
      <c r="H624" s="10">
        <v>-35.74</v>
      </c>
      <c r="I624" s="7">
        <v>5.81</v>
      </c>
      <c r="J624" s="7">
        <v>3.37</v>
      </c>
      <c r="K624" s="2" t="s">
        <v>862</v>
      </c>
      <c r="L624" s="16" t="s">
        <v>919</v>
      </c>
      <c r="M624" s="4" t="s">
        <v>563</v>
      </c>
      <c r="N624" s="2" t="s">
        <v>565</v>
      </c>
      <c r="O624" s="2" t="s">
        <v>568</v>
      </c>
      <c r="P624" s="2" t="s">
        <v>580</v>
      </c>
      <c r="Q624" s="1" t="s">
        <v>93</v>
      </c>
      <c r="R624" s="2" t="s">
        <v>584</v>
      </c>
      <c r="S624" s="8">
        <f>B624+0</f>
        <v>41269</v>
      </c>
    </row>
    <row r="625" spans="1:19" x14ac:dyDescent="0.15">
      <c r="A625" s="1">
        <v>48709</v>
      </c>
      <c r="B625" s="6">
        <f>DATE(2012,12,31)-491</f>
        <v>40783</v>
      </c>
      <c r="C625" s="2" t="s">
        <v>913</v>
      </c>
      <c r="D625" s="1">
        <v>17</v>
      </c>
      <c r="E625" s="1">
        <v>47.12</v>
      </c>
      <c r="F625" s="1">
        <v>0.01</v>
      </c>
      <c r="G625" s="2" t="s">
        <v>560</v>
      </c>
      <c r="H625" s="10">
        <v>-47.01</v>
      </c>
      <c r="I625" s="7">
        <v>2.52</v>
      </c>
      <c r="J625" s="7">
        <v>4.28</v>
      </c>
      <c r="K625" s="2" t="s">
        <v>896</v>
      </c>
      <c r="L625" s="16" t="s">
        <v>919</v>
      </c>
      <c r="M625" s="4" t="s">
        <v>563</v>
      </c>
      <c r="N625" s="2" t="s">
        <v>567</v>
      </c>
      <c r="O625" s="2" t="s">
        <v>568</v>
      </c>
      <c r="P625" s="2" t="s">
        <v>571</v>
      </c>
      <c r="Q625" s="1" t="s">
        <v>646</v>
      </c>
      <c r="R625" s="2" t="s">
        <v>584</v>
      </c>
      <c r="S625" s="8">
        <f>B625+2</f>
        <v>40785</v>
      </c>
    </row>
    <row r="626" spans="1:19" x14ac:dyDescent="0.15">
      <c r="A626" s="1">
        <v>48832</v>
      </c>
      <c r="B626" s="6">
        <f>DATE(2012,12,31)-971</f>
        <v>40303</v>
      </c>
      <c r="C626" s="2" t="s">
        <v>913</v>
      </c>
      <c r="D626" s="1">
        <v>48</v>
      </c>
      <c r="E626" s="1">
        <v>4480.8900000000003</v>
      </c>
      <c r="F626" s="1">
        <v>0.02</v>
      </c>
      <c r="G626" s="2" t="s">
        <v>562</v>
      </c>
      <c r="H626" s="10">
        <v>195.04</v>
      </c>
      <c r="I626" s="7">
        <v>90.98</v>
      </c>
      <c r="J626" s="7">
        <v>30</v>
      </c>
      <c r="K626" s="2" t="s">
        <v>825</v>
      </c>
      <c r="L626" s="16" t="s">
        <v>919</v>
      </c>
      <c r="M626" s="4" t="s">
        <v>563</v>
      </c>
      <c r="N626" s="2" t="s">
        <v>565</v>
      </c>
      <c r="O626" s="2" t="s">
        <v>570</v>
      </c>
      <c r="P626" s="2" t="s">
        <v>574</v>
      </c>
      <c r="Q626" s="1" t="s">
        <v>461</v>
      </c>
      <c r="R626" s="2" t="s">
        <v>586</v>
      </c>
      <c r="S626" s="8">
        <f>B626+0</f>
        <v>40303</v>
      </c>
    </row>
    <row r="627" spans="1:19" x14ac:dyDescent="0.15">
      <c r="A627" s="1">
        <v>48836</v>
      </c>
      <c r="B627" s="6">
        <f>DATE(2012,12,31)-1416</f>
        <v>39858</v>
      </c>
      <c r="C627" s="2" t="s">
        <v>917</v>
      </c>
      <c r="D627" s="1">
        <v>8</v>
      </c>
      <c r="E627" s="1">
        <v>2651.21</v>
      </c>
      <c r="F627" s="1">
        <v>0.09</v>
      </c>
      <c r="G627" s="2" t="s">
        <v>562</v>
      </c>
      <c r="H627" s="10">
        <v>-93.849999999999909</v>
      </c>
      <c r="I627" s="7">
        <v>348.21</v>
      </c>
      <c r="J627" s="7">
        <v>40.19</v>
      </c>
      <c r="K627" s="2" t="s">
        <v>805</v>
      </c>
      <c r="L627" s="16" t="s">
        <v>919</v>
      </c>
      <c r="M627" s="4" t="s">
        <v>563</v>
      </c>
      <c r="N627" s="2" t="s">
        <v>564</v>
      </c>
      <c r="O627" s="2" t="s">
        <v>570</v>
      </c>
      <c r="P627" s="2" t="s">
        <v>578</v>
      </c>
      <c r="Q627" s="1" t="s">
        <v>282</v>
      </c>
      <c r="R627" s="2" t="s">
        <v>588</v>
      </c>
      <c r="S627" s="8">
        <f>B627+2</f>
        <v>39860</v>
      </c>
    </row>
    <row r="628" spans="1:19" x14ac:dyDescent="0.15">
      <c r="A628" s="1">
        <v>48935</v>
      </c>
      <c r="B628" s="6">
        <f>DATE(2012,12,31)-1089</f>
        <v>40185</v>
      </c>
      <c r="C628" s="2" t="s">
        <v>916</v>
      </c>
      <c r="D628" s="1">
        <v>21</v>
      </c>
      <c r="E628" s="1">
        <v>106.2</v>
      </c>
      <c r="F628" s="1">
        <v>0</v>
      </c>
      <c r="G628" s="2" t="s">
        <v>560</v>
      </c>
      <c r="H628" s="10">
        <v>48.76</v>
      </c>
      <c r="I628" s="7">
        <v>4.91</v>
      </c>
      <c r="J628" s="7">
        <v>0.5</v>
      </c>
      <c r="K628" s="2" t="s">
        <v>895</v>
      </c>
      <c r="L628" s="16" t="s">
        <v>919</v>
      </c>
      <c r="M628" s="4" t="s">
        <v>563</v>
      </c>
      <c r="N628" s="2" t="s">
        <v>566</v>
      </c>
      <c r="O628" s="2" t="s">
        <v>568</v>
      </c>
      <c r="P628" s="2" t="s">
        <v>582</v>
      </c>
      <c r="Q628" s="1" t="s">
        <v>139</v>
      </c>
      <c r="R628" s="2" t="s">
        <v>585</v>
      </c>
      <c r="S628" s="8">
        <f>B628+2</f>
        <v>40187</v>
      </c>
    </row>
    <row r="629" spans="1:19" x14ac:dyDescent="0.15">
      <c r="A629" s="1">
        <v>49026</v>
      </c>
      <c r="B629" s="6">
        <f>DATE(2012,12,31)-665</f>
        <v>40609</v>
      </c>
      <c r="C629" s="2" t="s">
        <v>916</v>
      </c>
      <c r="D629" s="1">
        <v>36</v>
      </c>
      <c r="E629" s="1">
        <v>411.75</v>
      </c>
      <c r="F629" s="1">
        <v>0.05</v>
      </c>
      <c r="G629" s="2" t="s">
        <v>560</v>
      </c>
      <c r="H629" s="10">
        <v>-182.87</v>
      </c>
      <c r="I629" s="7">
        <v>11.66</v>
      </c>
      <c r="J629" s="7">
        <v>8.99</v>
      </c>
      <c r="K629" s="2" t="s">
        <v>898</v>
      </c>
      <c r="L629" s="16" t="s">
        <v>919</v>
      </c>
      <c r="M629" s="4" t="s">
        <v>563</v>
      </c>
      <c r="N629" s="2" t="s">
        <v>567</v>
      </c>
      <c r="O629" s="2" t="s">
        <v>568</v>
      </c>
      <c r="P629" s="2" t="s">
        <v>571</v>
      </c>
      <c r="Q629" s="1" t="s">
        <v>43</v>
      </c>
      <c r="R629" s="2" t="s">
        <v>587</v>
      </c>
      <c r="S629" s="8">
        <f>B629+5</f>
        <v>40614</v>
      </c>
    </row>
    <row r="630" spans="1:19" x14ac:dyDescent="0.15">
      <c r="A630" s="1">
        <v>49925</v>
      </c>
      <c r="B630" s="6">
        <f>DATE(2012,12,31)-1074</f>
        <v>40200</v>
      </c>
      <c r="C630" s="2" t="s">
        <v>913</v>
      </c>
      <c r="D630" s="1">
        <v>1</v>
      </c>
      <c r="E630" s="1">
        <v>3.41</v>
      </c>
      <c r="F630" s="1">
        <v>0.06</v>
      </c>
      <c r="G630" s="2" t="s">
        <v>560</v>
      </c>
      <c r="H630" s="10">
        <v>-1.78</v>
      </c>
      <c r="I630" s="7">
        <v>2.88</v>
      </c>
      <c r="J630" s="7">
        <v>0.7</v>
      </c>
      <c r="K630" s="2" t="s">
        <v>868</v>
      </c>
      <c r="L630" s="16" t="s">
        <v>919</v>
      </c>
      <c r="M630" s="4" t="s">
        <v>563</v>
      </c>
      <c r="N630" s="2" t="s">
        <v>567</v>
      </c>
      <c r="O630" s="2" t="s">
        <v>568</v>
      </c>
      <c r="P630" s="2" t="s">
        <v>571</v>
      </c>
      <c r="Q630" s="1" t="s">
        <v>195</v>
      </c>
      <c r="R630" s="2" t="s">
        <v>584</v>
      </c>
      <c r="S630" s="8">
        <f>B630+1</f>
        <v>40201</v>
      </c>
    </row>
    <row r="631" spans="1:19" x14ac:dyDescent="0.15">
      <c r="A631" s="1">
        <v>50337</v>
      </c>
      <c r="B631" s="6">
        <f>DATE(2012,12,31)-1355</f>
        <v>39919</v>
      </c>
      <c r="C631" s="2" t="s">
        <v>915</v>
      </c>
      <c r="D631" s="1">
        <v>37</v>
      </c>
      <c r="E631" s="1">
        <v>122.99</v>
      </c>
      <c r="F631" s="1">
        <v>0</v>
      </c>
      <c r="G631" s="2" t="s">
        <v>561</v>
      </c>
      <c r="H631" s="10">
        <v>21.479500000000002</v>
      </c>
      <c r="I631" s="7">
        <v>2.78</v>
      </c>
      <c r="J631" s="7">
        <v>1.49</v>
      </c>
      <c r="K631" s="2" t="s">
        <v>788</v>
      </c>
      <c r="L631" s="16" t="s">
        <v>919</v>
      </c>
      <c r="M631" s="4" t="s">
        <v>563</v>
      </c>
      <c r="N631" s="2" t="s">
        <v>566</v>
      </c>
      <c r="O631" s="2" t="s">
        <v>568</v>
      </c>
      <c r="P631" s="2" t="s">
        <v>88</v>
      </c>
      <c r="Q631" s="1" t="s">
        <v>758</v>
      </c>
      <c r="R631" s="2" t="s">
        <v>585</v>
      </c>
      <c r="S631" s="8">
        <f>B631+1</f>
        <v>39920</v>
      </c>
    </row>
    <row r="632" spans="1:19" x14ac:dyDescent="0.15">
      <c r="A632" s="1">
        <v>50337</v>
      </c>
      <c r="B632" s="6">
        <f>DATE(2012,12,31)-1355</f>
        <v>39919</v>
      </c>
      <c r="C632" s="2" t="s">
        <v>915</v>
      </c>
      <c r="D632" s="1">
        <v>6</v>
      </c>
      <c r="E632" s="1">
        <v>14734.71</v>
      </c>
      <c r="F632" s="1">
        <v>0.1</v>
      </c>
      <c r="G632" s="2" t="s">
        <v>562</v>
      </c>
      <c r="H632" s="10">
        <v>-3798.0110999999997</v>
      </c>
      <c r="I632" s="7">
        <v>2550.14</v>
      </c>
      <c r="J632" s="7">
        <v>29.7</v>
      </c>
      <c r="K632" s="2" t="s">
        <v>788</v>
      </c>
      <c r="L632" s="16" t="s">
        <v>919</v>
      </c>
      <c r="M632" s="4" t="s">
        <v>563</v>
      </c>
      <c r="N632" s="2" t="s">
        <v>566</v>
      </c>
      <c r="O632" s="2" t="s">
        <v>569</v>
      </c>
      <c r="P632" s="2" t="s">
        <v>583</v>
      </c>
      <c r="Q632" s="1" t="s">
        <v>487</v>
      </c>
      <c r="R632" s="2" t="s">
        <v>586</v>
      </c>
      <c r="S632" s="8">
        <f>B632+2</f>
        <v>39921</v>
      </c>
    </row>
    <row r="633" spans="1:19" x14ac:dyDescent="0.15">
      <c r="A633" s="1">
        <v>50403</v>
      </c>
      <c r="B633" s="6">
        <f>DATE(2012,12,31)-233</f>
        <v>41041</v>
      </c>
      <c r="C633" s="2" t="s">
        <v>915</v>
      </c>
      <c r="D633" s="1">
        <v>38</v>
      </c>
      <c r="E633" s="1">
        <v>264.92</v>
      </c>
      <c r="F633" s="1">
        <v>0.05</v>
      </c>
      <c r="G633" s="2" t="s">
        <v>560</v>
      </c>
      <c r="H633" s="10">
        <v>-97.06</v>
      </c>
      <c r="I633" s="7">
        <v>7.1</v>
      </c>
      <c r="J633" s="7">
        <v>6.05</v>
      </c>
      <c r="K633" s="2" t="s">
        <v>851</v>
      </c>
      <c r="L633" s="16" t="s">
        <v>919</v>
      </c>
      <c r="M633" s="4" t="s">
        <v>563</v>
      </c>
      <c r="N633" s="2" t="s">
        <v>567</v>
      </c>
      <c r="O633" s="2" t="s">
        <v>568</v>
      </c>
      <c r="P633" s="2" t="s">
        <v>88</v>
      </c>
      <c r="Q633" s="1" t="s">
        <v>446</v>
      </c>
      <c r="R633" s="2" t="s">
        <v>585</v>
      </c>
      <c r="S633" s="8">
        <f>B633+2</f>
        <v>41043</v>
      </c>
    </row>
    <row r="634" spans="1:19" x14ac:dyDescent="0.15">
      <c r="A634" s="1">
        <v>50656</v>
      </c>
      <c r="B634" s="6">
        <f>DATE(2012,12,31)-1163</f>
        <v>40111</v>
      </c>
      <c r="C634" s="2" t="s">
        <v>917</v>
      </c>
      <c r="D634" s="1">
        <v>42</v>
      </c>
      <c r="E634" s="1">
        <v>194.2</v>
      </c>
      <c r="F634" s="1">
        <v>0</v>
      </c>
      <c r="G634" s="2" t="s">
        <v>560</v>
      </c>
      <c r="H634" s="10">
        <v>-139.13</v>
      </c>
      <c r="I634" s="7">
        <v>4.37</v>
      </c>
      <c r="J634" s="7">
        <v>5.15</v>
      </c>
      <c r="K634" s="2" t="s">
        <v>763</v>
      </c>
      <c r="L634" s="16" t="s">
        <v>919</v>
      </c>
      <c r="M634" s="4" t="s">
        <v>563</v>
      </c>
      <c r="N634" s="2" t="s">
        <v>566</v>
      </c>
      <c r="O634" s="2" t="s">
        <v>568</v>
      </c>
      <c r="P634" s="2" t="s">
        <v>576</v>
      </c>
      <c r="Q634" s="1" t="s">
        <v>286</v>
      </c>
      <c r="R634" s="2" t="s">
        <v>585</v>
      </c>
      <c r="S634" s="8">
        <f>B634+2</f>
        <v>40113</v>
      </c>
    </row>
    <row r="635" spans="1:19" x14ac:dyDescent="0.15">
      <c r="A635" s="1">
        <v>50656</v>
      </c>
      <c r="B635" s="6">
        <f>DATE(2012,12,31)-1163</f>
        <v>40111</v>
      </c>
      <c r="C635" s="2" t="s">
        <v>917</v>
      </c>
      <c r="D635" s="1">
        <v>31</v>
      </c>
      <c r="E635" s="1">
        <v>16451.330000000002</v>
      </c>
      <c r="F635" s="1">
        <v>0.01</v>
      </c>
      <c r="G635" s="2" t="s">
        <v>562</v>
      </c>
      <c r="H635" s="10">
        <v>5325.14</v>
      </c>
      <c r="I635" s="7">
        <v>500.98</v>
      </c>
      <c r="J635" s="7">
        <v>56</v>
      </c>
      <c r="K635" s="2" t="s">
        <v>763</v>
      </c>
      <c r="L635" s="16" t="s">
        <v>919</v>
      </c>
      <c r="M635" s="4" t="s">
        <v>563</v>
      </c>
      <c r="N635" s="2" t="s">
        <v>566</v>
      </c>
      <c r="O635" s="2" t="s">
        <v>570</v>
      </c>
      <c r="P635" s="2" t="s">
        <v>574</v>
      </c>
      <c r="Q635" s="1" t="s">
        <v>731</v>
      </c>
      <c r="R635" s="2" t="s">
        <v>586</v>
      </c>
      <c r="S635" s="8">
        <f>B635+1</f>
        <v>40112</v>
      </c>
    </row>
    <row r="636" spans="1:19" x14ac:dyDescent="0.15">
      <c r="A636" s="1">
        <v>50656</v>
      </c>
      <c r="B636" s="6">
        <f>DATE(2012,12,31)-1163</f>
        <v>40111</v>
      </c>
      <c r="C636" s="2" t="s">
        <v>917</v>
      </c>
      <c r="D636" s="1">
        <v>39</v>
      </c>
      <c r="E636" s="1">
        <v>485.97</v>
      </c>
      <c r="F636" s="1">
        <v>0.02</v>
      </c>
      <c r="G636" s="2" t="s">
        <v>560</v>
      </c>
      <c r="H636" s="10">
        <v>48.6</v>
      </c>
      <c r="I636" s="7">
        <v>12.58</v>
      </c>
      <c r="J636" s="7">
        <v>5.16</v>
      </c>
      <c r="K636" s="2" t="s">
        <v>763</v>
      </c>
      <c r="L636" s="16" t="s">
        <v>919</v>
      </c>
      <c r="M636" s="4" t="s">
        <v>563</v>
      </c>
      <c r="N636" s="2" t="s">
        <v>566</v>
      </c>
      <c r="O636" s="2" t="s">
        <v>570</v>
      </c>
      <c r="P636" s="2" t="s">
        <v>579</v>
      </c>
      <c r="Q636" s="1" t="s">
        <v>53</v>
      </c>
      <c r="R636" s="2" t="s">
        <v>585</v>
      </c>
      <c r="S636" s="8">
        <f>B636+0</f>
        <v>40111</v>
      </c>
    </row>
    <row r="637" spans="1:19" x14ac:dyDescent="0.15">
      <c r="A637" s="1">
        <v>50656</v>
      </c>
      <c r="B637" s="6">
        <f>DATE(2012,12,31)-1163</f>
        <v>40111</v>
      </c>
      <c r="C637" s="2" t="s">
        <v>917</v>
      </c>
      <c r="D637" s="1">
        <v>15</v>
      </c>
      <c r="E637" s="1">
        <v>109.71</v>
      </c>
      <c r="F637" s="1">
        <v>0.1</v>
      </c>
      <c r="G637" s="2" t="s">
        <v>560</v>
      </c>
      <c r="H637" s="10">
        <v>-20.95</v>
      </c>
      <c r="I637" s="7">
        <v>7.7</v>
      </c>
      <c r="J637" s="7">
        <v>3.68</v>
      </c>
      <c r="K637" s="2" t="s">
        <v>763</v>
      </c>
      <c r="L637" s="16" t="s">
        <v>919</v>
      </c>
      <c r="M637" s="4" t="s">
        <v>563</v>
      </c>
      <c r="N637" s="2" t="s">
        <v>566</v>
      </c>
      <c r="O637" s="2" t="s">
        <v>570</v>
      </c>
      <c r="P637" s="2" t="s">
        <v>579</v>
      </c>
      <c r="Q637" s="1" t="s">
        <v>744</v>
      </c>
      <c r="R637" s="2" t="s">
        <v>584</v>
      </c>
      <c r="S637" s="8">
        <f>B637+1</f>
        <v>40112</v>
      </c>
    </row>
    <row r="638" spans="1:19" x14ac:dyDescent="0.15">
      <c r="A638" s="1">
        <v>50950</v>
      </c>
      <c r="B638" s="6">
        <f>DATE(2012,12,31)-1</f>
        <v>41273</v>
      </c>
      <c r="C638" s="2" t="s">
        <v>915</v>
      </c>
      <c r="D638" s="1">
        <v>6</v>
      </c>
      <c r="E638" s="1">
        <v>391.12</v>
      </c>
      <c r="F638" s="1">
        <v>0.06</v>
      </c>
      <c r="G638" s="2" t="s">
        <v>562</v>
      </c>
      <c r="H638" s="10">
        <v>-166.96</v>
      </c>
      <c r="I638" s="7">
        <v>60.98</v>
      </c>
      <c r="J638" s="7">
        <v>30</v>
      </c>
      <c r="K638" s="2" t="s">
        <v>879</v>
      </c>
      <c r="L638" s="16" t="s">
        <v>919</v>
      </c>
      <c r="M638" s="4" t="s">
        <v>563</v>
      </c>
      <c r="N638" s="2" t="s">
        <v>567</v>
      </c>
      <c r="O638" s="2" t="s">
        <v>570</v>
      </c>
      <c r="P638" s="2" t="s">
        <v>574</v>
      </c>
      <c r="Q638" s="1" t="s">
        <v>323</v>
      </c>
      <c r="R638" s="2" t="s">
        <v>586</v>
      </c>
      <c r="S638" s="8">
        <f>B638+0</f>
        <v>41273</v>
      </c>
    </row>
    <row r="639" spans="1:19" x14ac:dyDescent="0.15">
      <c r="A639" s="1">
        <v>50950</v>
      </c>
      <c r="B639" s="6">
        <f>DATE(2012,12,31)-1</f>
        <v>41273</v>
      </c>
      <c r="C639" s="2" t="s">
        <v>915</v>
      </c>
      <c r="D639" s="1">
        <v>35</v>
      </c>
      <c r="E639" s="1">
        <v>448.1</v>
      </c>
      <c r="F639" s="1">
        <v>0.1</v>
      </c>
      <c r="G639" s="2" t="s">
        <v>561</v>
      </c>
      <c r="H639" s="10">
        <v>-15.07</v>
      </c>
      <c r="I639" s="7">
        <v>13.48</v>
      </c>
      <c r="J639" s="7">
        <v>4.51</v>
      </c>
      <c r="K639" s="2" t="s">
        <v>879</v>
      </c>
      <c r="L639" s="16" t="s">
        <v>919</v>
      </c>
      <c r="M639" s="4" t="s">
        <v>563</v>
      </c>
      <c r="N639" s="2" t="s">
        <v>567</v>
      </c>
      <c r="O639" s="2" t="s">
        <v>568</v>
      </c>
      <c r="P639" s="2" t="s">
        <v>577</v>
      </c>
      <c r="Q639" s="1" t="s">
        <v>371</v>
      </c>
      <c r="R639" s="2" t="s">
        <v>585</v>
      </c>
      <c r="S639" s="8">
        <f>B639+0</f>
        <v>41273</v>
      </c>
    </row>
    <row r="640" spans="1:19" x14ac:dyDescent="0.15">
      <c r="A640" s="1">
        <v>50977</v>
      </c>
      <c r="B640" s="6">
        <f>DATE(2012,12,31)-203</f>
        <v>41071</v>
      </c>
      <c r="C640" s="2" t="s">
        <v>916</v>
      </c>
      <c r="D640" s="1">
        <v>1</v>
      </c>
      <c r="E640" s="1">
        <v>34.090000000000003</v>
      </c>
      <c r="F640" s="1">
        <v>0.05</v>
      </c>
      <c r="G640" s="2" t="s">
        <v>561</v>
      </c>
      <c r="H640" s="10">
        <v>-19.899999999999999</v>
      </c>
      <c r="I640" s="7">
        <v>18.97</v>
      </c>
      <c r="J640" s="7">
        <v>9.0299999999999994</v>
      </c>
      <c r="K640" s="2" t="s">
        <v>869</v>
      </c>
      <c r="L640" s="16" t="s">
        <v>919</v>
      </c>
      <c r="M640" s="4" t="s">
        <v>563</v>
      </c>
      <c r="N640" s="2" t="s">
        <v>566</v>
      </c>
      <c r="O640" s="2" t="s">
        <v>568</v>
      </c>
      <c r="P640" s="2" t="s">
        <v>573</v>
      </c>
      <c r="Q640" s="1" t="s">
        <v>391</v>
      </c>
      <c r="R640" s="2" t="s">
        <v>585</v>
      </c>
      <c r="S640" s="8">
        <f>B640+0</f>
        <v>41071</v>
      </c>
    </row>
    <row r="641" spans="1:19" x14ac:dyDescent="0.15">
      <c r="A641" s="1">
        <v>51011</v>
      </c>
      <c r="B641" s="6">
        <f>DATE(2012,12,31)-939</f>
        <v>40335</v>
      </c>
      <c r="C641" s="2" t="s">
        <v>916</v>
      </c>
      <c r="D641" s="1">
        <v>41</v>
      </c>
      <c r="E641" s="1">
        <v>5144.8715000000002</v>
      </c>
      <c r="F641" s="1">
        <v>0.09</v>
      </c>
      <c r="G641" s="2" t="s">
        <v>560</v>
      </c>
      <c r="H641" s="10">
        <v>1435.8329999999999</v>
      </c>
      <c r="I641" s="7">
        <v>155.99</v>
      </c>
      <c r="J641" s="7">
        <v>3.9</v>
      </c>
      <c r="K641" s="2" t="s">
        <v>869</v>
      </c>
      <c r="L641" s="16" t="s">
        <v>919</v>
      </c>
      <c r="M641" s="4" t="s">
        <v>563</v>
      </c>
      <c r="N641" s="2" t="s">
        <v>566</v>
      </c>
      <c r="O641" s="2" t="s">
        <v>569</v>
      </c>
      <c r="P641" s="2" t="s">
        <v>87</v>
      </c>
      <c r="Q641" s="1" t="s">
        <v>684</v>
      </c>
      <c r="R641" s="2" t="s">
        <v>585</v>
      </c>
      <c r="S641" s="8">
        <f>B641+2</f>
        <v>40337</v>
      </c>
    </row>
    <row r="642" spans="1:19" x14ac:dyDescent="0.15">
      <c r="A642" s="1">
        <v>51171</v>
      </c>
      <c r="B642" s="6">
        <f>DATE(2012,12,31)-924</f>
        <v>40350</v>
      </c>
      <c r="C642" s="2" t="s">
        <v>913</v>
      </c>
      <c r="D642" s="1">
        <v>34</v>
      </c>
      <c r="E642" s="1">
        <v>783.48</v>
      </c>
      <c r="F642" s="1">
        <v>0.01</v>
      </c>
      <c r="G642" s="2" t="s">
        <v>560</v>
      </c>
      <c r="H642" s="10">
        <v>-73.404499999999999</v>
      </c>
      <c r="I642" s="7">
        <v>22.38</v>
      </c>
      <c r="J642" s="7">
        <v>15.1</v>
      </c>
      <c r="K642" s="2" t="s">
        <v>863</v>
      </c>
      <c r="L642" s="16" t="s">
        <v>919</v>
      </c>
      <c r="M642" s="4" t="s">
        <v>563</v>
      </c>
      <c r="N642" s="2" t="s">
        <v>565</v>
      </c>
      <c r="O642" s="2" t="s">
        <v>568</v>
      </c>
      <c r="P642" s="2" t="s">
        <v>88</v>
      </c>
      <c r="Q642" s="1" t="s">
        <v>41</v>
      </c>
      <c r="R642" s="2" t="s">
        <v>585</v>
      </c>
      <c r="S642" s="8">
        <f>B642+2</f>
        <v>40352</v>
      </c>
    </row>
    <row r="643" spans="1:19" x14ac:dyDescent="0.15">
      <c r="A643" s="1">
        <v>51267</v>
      </c>
      <c r="B643" s="6">
        <f>DATE(2012,12,31)-242</f>
        <v>41032</v>
      </c>
      <c r="C643" s="2" t="s">
        <v>916</v>
      </c>
      <c r="D643" s="1">
        <v>46</v>
      </c>
      <c r="E643" s="1">
        <v>4394.78</v>
      </c>
      <c r="F643" s="1">
        <v>0.08</v>
      </c>
      <c r="G643" s="2" t="s">
        <v>562</v>
      </c>
      <c r="H643" s="10">
        <v>-335.77</v>
      </c>
      <c r="I643" s="7">
        <v>100.98</v>
      </c>
      <c r="J643" s="7">
        <v>35.840000000000003</v>
      </c>
      <c r="K643" s="2" t="s">
        <v>831</v>
      </c>
      <c r="L643" s="16" t="s">
        <v>919</v>
      </c>
      <c r="M643" s="4" t="s">
        <v>563</v>
      </c>
      <c r="N643" s="2" t="s">
        <v>564</v>
      </c>
      <c r="O643" s="2" t="s">
        <v>570</v>
      </c>
      <c r="P643" s="2" t="s">
        <v>581</v>
      </c>
      <c r="Q643" s="1" t="s">
        <v>449</v>
      </c>
      <c r="R643" s="2" t="s">
        <v>588</v>
      </c>
      <c r="S643" s="8">
        <f>B643+5</f>
        <v>41037</v>
      </c>
    </row>
    <row r="644" spans="1:19" x14ac:dyDescent="0.15">
      <c r="A644" s="1">
        <v>51362</v>
      </c>
      <c r="B644" s="6">
        <f>DATE(2012,12,31)-1043</f>
        <v>40231</v>
      </c>
      <c r="C644" s="2" t="s">
        <v>914</v>
      </c>
      <c r="D644" s="1">
        <v>47</v>
      </c>
      <c r="E644" s="1">
        <v>1501.8</v>
      </c>
      <c r="F644" s="1">
        <v>0.02</v>
      </c>
      <c r="G644" s="2" t="s">
        <v>560</v>
      </c>
      <c r="H644" s="10">
        <v>112.78</v>
      </c>
      <c r="I644" s="7">
        <v>30.97</v>
      </c>
      <c r="J644" s="7">
        <v>4</v>
      </c>
      <c r="K644" s="2" t="s">
        <v>887</v>
      </c>
      <c r="L644" s="16" t="s">
        <v>919</v>
      </c>
      <c r="M644" s="4" t="s">
        <v>563</v>
      </c>
      <c r="N644" s="2" t="s">
        <v>567</v>
      </c>
      <c r="O644" s="2" t="s">
        <v>569</v>
      </c>
      <c r="P644" s="2" t="s">
        <v>572</v>
      </c>
      <c r="Q644" s="1" t="s">
        <v>122</v>
      </c>
      <c r="R644" s="2" t="s">
        <v>585</v>
      </c>
      <c r="S644" s="8">
        <f>B644+2</f>
        <v>40233</v>
      </c>
    </row>
    <row r="645" spans="1:19" x14ac:dyDescent="0.15">
      <c r="A645" s="1">
        <v>51489</v>
      </c>
      <c r="B645" s="6">
        <f>DATE(2012,12,31)-303</f>
        <v>40971</v>
      </c>
      <c r="C645" s="2" t="s">
        <v>917</v>
      </c>
      <c r="D645" s="1">
        <v>42</v>
      </c>
      <c r="E645" s="1">
        <v>4846.68</v>
      </c>
      <c r="F645" s="1">
        <v>0.04</v>
      </c>
      <c r="G645" s="2" t="s">
        <v>560</v>
      </c>
      <c r="H645" s="10">
        <v>820.94</v>
      </c>
      <c r="I645" s="7">
        <v>110.98</v>
      </c>
      <c r="J645" s="7">
        <v>13.99</v>
      </c>
      <c r="K645" s="2" t="s">
        <v>846</v>
      </c>
      <c r="L645" s="16" t="s">
        <v>919</v>
      </c>
      <c r="M645" s="4" t="s">
        <v>563</v>
      </c>
      <c r="N645" s="2" t="s">
        <v>567</v>
      </c>
      <c r="O645" s="2" t="s">
        <v>570</v>
      </c>
      <c r="P645" s="2" t="s">
        <v>579</v>
      </c>
      <c r="Q645" s="1" t="s">
        <v>457</v>
      </c>
      <c r="R645" s="2" t="s">
        <v>589</v>
      </c>
      <c r="S645" s="8">
        <f>B645+2</f>
        <v>40973</v>
      </c>
    </row>
    <row r="646" spans="1:19" x14ac:dyDescent="0.15">
      <c r="A646" s="1">
        <v>51489</v>
      </c>
      <c r="B646" s="6">
        <f>DATE(2012,12,31)-303</f>
        <v>40971</v>
      </c>
      <c r="C646" s="2" t="s">
        <v>917</v>
      </c>
      <c r="D646" s="1">
        <v>5</v>
      </c>
      <c r="E646" s="1">
        <v>32.69</v>
      </c>
      <c r="F646" s="1">
        <v>0</v>
      </c>
      <c r="G646" s="2" t="s">
        <v>560</v>
      </c>
      <c r="H646" s="10">
        <v>-24.43</v>
      </c>
      <c r="I646" s="7">
        <v>4.9800000000000004</v>
      </c>
      <c r="J646" s="7">
        <v>7.54</v>
      </c>
      <c r="K646" s="2" t="s">
        <v>846</v>
      </c>
      <c r="L646" s="16" t="s">
        <v>919</v>
      </c>
      <c r="M646" s="4" t="s">
        <v>563</v>
      </c>
      <c r="N646" s="2" t="s">
        <v>567</v>
      </c>
      <c r="O646" s="2" t="s">
        <v>568</v>
      </c>
      <c r="P646" s="2" t="s">
        <v>573</v>
      </c>
      <c r="Q646" s="1" t="s">
        <v>416</v>
      </c>
      <c r="R646" s="2" t="s">
        <v>585</v>
      </c>
      <c r="S646" s="8">
        <f>B646+2</f>
        <v>40973</v>
      </c>
    </row>
    <row r="647" spans="1:19" x14ac:dyDescent="0.15">
      <c r="A647" s="1">
        <v>51489</v>
      </c>
      <c r="B647" s="6">
        <f>DATE(2012,12,31)-303</f>
        <v>40971</v>
      </c>
      <c r="C647" s="2" t="s">
        <v>917</v>
      </c>
      <c r="D647" s="1">
        <v>22</v>
      </c>
      <c r="E647" s="1">
        <v>38.880000000000003</v>
      </c>
      <c r="F647" s="1">
        <v>0.09</v>
      </c>
      <c r="G647" s="2" t="s">
        <v>560</v>
      </c>
      <c r="H647" s="10">
        <v>-18.57</v>
      </c>
      <c r="I647" s="7">
        <v>1.81</v>
      </c>
      <c r="J647" s="7">
        <v>1.56</v>
      </c>
      <c r="K647" s="2" t="s">
        <v>846</v>
      </c>
      <c r="L647" s="16" t="s">
        <v>919</v>
      </c>
      <c r="M647" s="4" t="s">
        <v>563</v>
      </c>
      <c r="N647" s="2" t="s">
        <v>567</v>
      </c>
      <c r="O647" s="2" t="s">
        <v>568</v>
      </c>
      <c r="P647" s="2" t="s">
        <v>580</v>
      </c>
      <c r="Q647" s="1" t="s">
        <v>274</v>
      </c>
      <c r="R647" s="2" t="s">
        <v>584</v>
      </c>
      <c r="S647" s="8">
        <f>B647+0</f>
        <v>40971</v>
      </c>
    </row>
    <row r="648" spans="1:19" x14ac:dyDescent="0.15">
      <c r="A648" s="1">
        <v>51493</v>
      </c>
      <c r="B648" s="6">
        <f>DATE(2012,12,31)-544</f>
        <v>40730</v>
      </c>
      <c r="C648" s="2" t="s">
        <v>916</v>
      </c>
      <c r="D648" s="1">
        <v>31</v>
      </c>
      <c r="E648" s="1">
        <v>286.26</v>
      </c>
      <c r="F648" s="1">
        <v>0.01</v>
      </c>
      <c r="G648" s="2" t="s">
        <v>560</v>
      </c>
      <c r="H648" s="10">
        <v>8.34</v>
      </c>
      <c r="I648" s="7">
        <v>8.56</v>
      </c>
      <c r="J648" s="7">
        <v>5.16</v>
      </c>
      <c r="K648" s="2" t="s">
        <v>896</v>
      </c>
      <c r="L648" s="16" t="s">
        <v>919</v>
      </c>
      <c r="M648" s="4" t="s">
        <v>563</v>
      </c>
      <c r="N648" s="2" t="s">
        <v>567</v>
      </c>
      <c r="O648" s="2" t="s">
        <v>568</v>
      </c>
      <c r="P648" s="2" t="s">
        <v>573</v>
      </c>
      <c r="Q648" s="1" t="s">
        <v>162</v>
      </c>
      <c r="R648" s="2" t="s">
        <v>584</v>
      </c>
      <c r="S648" s="8">
        <f>B648+2</f>
        <v>40732</v>
      </c>
    </row>
    <row r="649" spans="1:19" x14ac:dyDescent="0.15">
      <c r="A649" s="1">
        <v>51969</v>
      </c>
      <c r="B649" s="6">
        <f>DATE(2012,12,31)-484</f>
        <v>40790</v>
      </c>
      <c r="C649" s="2" t="s">
        <v>913</v>
      </c>
      <c r="D649" s="1">
        <v>16</v>
      </c>
      <c r="E649" s="1">
        <v>196.98</v>
      </c>
      <c r="F649" s="1">
        <v>0.04</v>
      </c>
      <c r="G649" s="2" t="s">
        <v>560</v>
      </c>
      <c r="H649" s="10">
        <v>-5.76</v>
      </c>
      <c r="I649" s="7">
        <v>12.28</v>
      </c>
      <c r="J649" s="7">
        <v>6.47</v>
      </c>
      <c r="K649" s="2" t="s">
        <v>837</v>
      </c>
      <c r="L649" s="16" t="s">
        <v>919</v>
      </c>
      <c r="M649" s="4" t="s">
        <v>563</v>
      </c>
      <c r="N649" s="2" t="s">
        <v>566</v>
      </c>
      <c r="O649" s="2" t="s">
        <v>568</v>
      </c>
      <c r="P649" s="2" t="s">
        <v>573</v>
      </c>
      <c r="Q649" s="1" t="s">
        <v>148</v>
      </c>
      <c r="R649" s="2" t="s">
        <v>585</v>
      </c>
      <c r="S649" s="8">
        <f>B649+0</f>
        <v>40790</v>
      </c>
    </row>
    <row r="650" spans="1:19" x14ac:dyDescent="0.15">
      <c r="A650" s="1">
        <v>51969</v>
      </c>
      <c r="B650" s="6">
        <f>DATE(2012,12,31)-484</f>
        <v>40790</v>
      </c>
      <c r="C650" s="2" t="s">
        <v>913</v>
      </c>
      <c r="D650" s="1">
        <v>33</v>
      </c>
      <c r="E650" s="1">
        <v>1756.6949999999999</v>
      </c>
      <c r="F650" s="1">
        <v>0.1</v>
      </c>
      <c r="G650" s="2" t="s">
        <v>560</v>
      </c>
      <c r="H650" s="10">
        <v>164.97</v>
      </c>
      <c r="I650" s="7">
        <v>65.989999999999995</v>
      </c>
      <c r="J650" s="7">
        <v>8.8000000000000007</v>
      </c>
      <c r="K650" s="2" t="s">
        <v>837</v>
      </c>
      <c r="L650" s="16" t="s">
        <v>919</v>
      </c>
      <c r="M650" s="4" t="s">
        <v>563</v>
      </c>
      <c r="N650" s="2" t="s">
        <v>566</v>
      </c>
      <c r="O650" s="2" t="s">
        <v>569</v>
      </c>
      <c r="P650" s="2" t="s">
        <v>87</v>
      </c>
      <c r="Q650" s="1" t="s">
        <v>134</v>
      </c>
      <c r="R650" s="2" t="s">
        <v>585</v>
      </c>
      <c r="S650" s="8">
        <f>B650+3</f>
        <v>40793</v>
      </c>
    </row>
    <row r="651" spans="1:19" x14ac:dyDescent="0.15">
      <c r="A651" s="1">
        <v>52003</v>
      </c>
      <c r="B651" s="6">
        <f>DATE(2012,12,31)-317</f>
        <v>40957</v>
      </c>
      <c r="C651" s="2" t="s">
        <v>916</v>
      </c>
      <c r="D651" s="1">
        <v>11</v>
      </c>
      <c r="E651" s="1">
        <v>1884.2080000000003</v>
      </c>
      <c r="F651" s="1">
        <v>0.04</v>
      </c>
      <c r="G651" s="2" t="s">
        <v>562</v>
      </c>
      <c r="H651" s="10">
        <v>-776.72</v>
      </c>
      <c r="I651" s="7">
        <v>212.6</v>
      </c>
      <c r="J651" s="7">
        <v>110.2</v>
      </c>
      <c r="K651" s="2" t="s">
        <v>776</v>
      </c>
      <c r="L651" s="16" t="s">
        <v>919</v>
      </c>
      <c r="M651" s="4" t="s">
        <v>563</v>
      </c>
      <c r="N651" s="2" t="s">
        <v>566</v>
      </c>
      <c r="O651" s="2" t="s">
        <v>570</v>
      </c>
      <c r="P651" s="2" t="s">
        <v>578</v>
      </c>
      <c r="Q651" s="1" t="s">
        <v>389</v>
      </c>
      <c r="R651" s="2" t="s">
        <v>588</v>
      </c>
      <c r="S651" s="8">
        <f>B651+7</f>
        <v>40964</v>
      </c>
    </row>
    <row r="652" spans="1:19" x14ac:dyDescent="0.15">
      <c r="A652" s="1">
        <v>52003</v>
      </c>
      <c r="B652" s="6">
        <f>DATE(2012,12,31)-317</f>
        <v>40957</v>
      </c>
      <c r="C652" s="2" t="s">
        <v>916</v>
      </c>
      <c r="D652" s="1">
        <v>2</v>
      </c>
      <c r="E652" s="1">
        <v>93.338499999999996</v>
      </c>
      <c r="F652" s="1">
        <v>0.1</v>
      </c>
      <c r="G652" s="2" t="s">
        <v>560</v>
      </c>
      <c r="H652" s="10">
        <v>-300.38799999999998</v>
      </c>
      <c r="I652" s="7">
        <v>55.99</v>
      </c>
      <c r="J652" s="7">
        <v>5</v>
      </c>
      <c r="K652" s="2" t="s">
        <v>776</v>
      </c>
      <c r="L652" s="16" t="s">
        <v>919</v>
      </c>
      <c r="M652" s="4" t="s">
        <v>563</v>
      </c>
      <c r="N652" s="2" t="s">
        <v>566</v>
      </c>
      <c r="O652" s="2" t="s">
        <v>569</v>
      </c>
      <c r="P652" s="2" t="s">
        <v>87</v>
      </c>
      <c r="Q652" s="1" t="s">
        <v>257</v>
      </c>
      <c r="R652" s="2" t="s">
        <v>587</v>
      </c>
      <c r="S652" s="8">
        <f>B652+0</f>
        <v>40957</v>
      </c>
    </row>
    <row r="653" spans="1:19" x14ac:dyDescent="0.15">
      <c r="A653" s="1">
        <v>52196</v>
      </c>
      <c r="B653" s="6">
        <f>DATE(2012,12,31)-1066</f>
        <v>40208</v>
      </c>
      <c r="C653" s="2" t="s">
        <v>915</v>
      </c>
      <c r="D653" s="1">
        <v>1</v>
      </c>
      <c r="E653" s="1">
        <v>3.85</v>
      </c>
      <c r="F653" s="1">
        <v>0.08</v>
      </c>
      <c r="G653" s="2" t="s">
        <v>560</v>
      </c>
      <c r="H653" s="10">
        <v>-1.36</v>
      </c>
      <c r="I653" s="7">
        <v>3.08</v>
      </c>
      <c r="J653" s="7">
        <v>0.99</v>
      </c>
      <c r="K653" s="2" t="s">
        <v>868</v>
      </c>
      <c r="L653" s="16" t="s">
        <v>919</v>
      </c>
      <c r="M653" s="4" t="s">
        <v>563</v>
      </c>
      <c r="N653" s="2" t="s">
        <v>567</v>
      </c>
      <c r="O653" s="2" t="s">
        <v>568</v>
      </c>
      <c r="P653" s="2" t="s">
        <v>582</v>
      </c>
      <c r="Q653" s="1" t="s">
        <v>261</v>
      </c>
      <c r="R653" s="2" t="s">
        <v>585</v>
      </c>
      <c r="S653" s="8">
        <f>B653+1</f>
        <v>40209</v>
      </c>
    </row>
    <row r="654" spans="1:19" x14ac:dyDescent="0.15">
      <c r="A654" s="1">
        <v>52196</v>
      </c>
      <c r="B654" s="6">
        <f>DATE(2012,12,31)-1066</f>
        <v>40208</v>
      </c>
      <c r="C654" s="2" t="s">
        <v>915</v>
      </c>
      <c r="D654" s="1">
        <v>10</v>
      </c>
      <c r="E654" s="1">
        <v>547.00049999999999</v>
      </c>
      <c r="F654" s="1">
        <v>0.08</v>
      </c>
      <c r="G654" s="2" t="s">
        <v>560</v>
      </c>
      <c r="H654" s="10">
        <v>-97.195999999999998</v>
      </c>
      <c r="I654" s="7">
        <v>65.989999999999995</v>
      </c>
      <c r="J654" s="7">
        <v>3.9</v>
      </c>
      <c r="K654" s="2" t="s">
        <v>868</v>
      </c>
      <c r="L654" s="16" t="s">
        <v>919</v>
      </c>
      <c r="M654" s="4" t="s">
        <v>563</v>
      </c>
      <c r="N654" s="2" t="s">
        <v>567</v>
      </c>
      <c r="O654" s="2" t="s">
        <v>569</v>
      </c>
      <c r="P654" s="2" t="s">
        <v>87</v>
      </c>
      <c r="Q654" s="1" t="s">
        <v>708</v>
      </c>
      <c r="R654" s="2" t="s">
        <v>585</v>
      </c>
      <c r="S654" s="8">
        <f>B654+2</f>
        <v>40210</v>
      </c>
    </row>
    <row r="655" spans="1:19" x14ac:dyDescent="0.15">
      <c r="A655" s="1">
        <v>52292</v>
      </c>
      <c r="B655" s="6">
        <f>DATE(2012,12,31)-820</f>
        <v>40454</v>
      </c>
      <c r="C655" s="2" t="s">
        <v>915</v>
      </c>
      <c r="D655" s="1">
        <v>18</v>
      </c>
      <c r="E655" s="1">
        <v>2379.15</v>
      </c>
      <c r="F655" s="1">
        <v>0.06</v>
      </c>
      <c r="G655" s="2" t="s">
        <v>562</v>
      </c>
      <c r="H655" s="10">
        <v>-261.77</v>
      </c>
      <c r="I655" s="7">
        <v>130.97999999999999</v>
      </c>
      <c r="J655" s="7">
        <v>30</v>
      </c>
      <c r="K655" s="2" t="s">
        <v>832</v>
      </c>
      <c r="L655" s="16" t="s">
        <v>919</v>
      </c>
      <c r="M655" s="4" t="s">
        <v>563</v>
      </c>
      <c r="N655" s="2" t="s">
        <v>564</v>
      </c>
      <c r="O655" s="2" t="s">
        <v>570</v>
      </c>
      <c r="P655" s="2" t="s">
        <v>574</v>
      </c>
      <c r="Q655" s="1" t="s">
        <v>421</v>
      </c>
      <c r="R655" s="2" t="s">
        <v>586</v>
      </c>
      <c r="S655" s="8">
        <f>B655+1</f>
        <v>40455</v>
      </c>
    </row>
    <row r="656" spans="1:19" x14ac:dyDescent="0.15">
      <c r="A656" s="1">
        <v>52423</v>
      </c>
      <c r="B656" s="6">
        <f>DATE(2012,12,31)-630</f>
        <v>40644</v>
      </c>
      <c r="C656" s="2" t="s">
        <v>917</v>
      </c>
      <c r="D656" s="1">
        <v>49</v>
      </c>
      <c r="E656" s="1">
        <v>1734.4</v>
      </c>
      <c r="F656" s="1">
        <v>0.02</v>
      </c>
      <c r="G656" s="2" t="s">
        <v>560</v>
      </c>
      <c r="H656" s="10">
        <v>749.16</v>
      </c>
      <c r="I656" s="7">
        <v>35.409999999999997</v>
      </c>
      <c r="J656" s="7">
        <v>1.99</v>
      </c>
      <c r="K656" s="2" t="s">
        <v>778</v>
      </c>
      <c r="L656" s="16" t="s">
        <v>919</v>
      </c>
      <c r="M656" s="4" t="s">
        <v>563</v>
      </c>
      <c r="N656" s="2" t="s">
        <v>564</v>
      </c>
      <c r="O656" s="2" t="s">
        <v>569</v>
      </c>
      <c r="P656" s="2" t="s">
        <v>572</v>
      </c>
      <c r="Q656" s="1" t="s">
        <v>345</v>
      </c>
      <c r="R656" s="2" t="s">
        <v>587</v>
      </c>
      <c r="S656" s="8">
        <f>B656+2</f>
        <v>40646</v>
      </c>
    </row>
    <row r="657" spans="1:19" x14ac:dyDescent="0.15">
      <c r="A657" s="1">
        <v>52423</v>
      </c>
      <c r="B657" s="6">
        <f>DATE(2012,12,31)-630</f>
        <v>40644</v>
      </c>
      <c r="C657" s="2" t="s">
        <v>917</v>
      </c>
      <c r="D657" s="1">
        <v>25</v>
      </c>
      <c r="E657" s="1">
        <v>1128.03</v>
      </c>
      <c r="F657" s="1">
        <v>0.01</v>
      </c>
      <c r="G657" s="2" t="s">
        <v>560</v>
      </c>
      <c r="H657" s="10">
        <v>256.3</v>
      </c>
      <c r="I657" s="7">
        <v>42.76</v>
      </c>
      <c r="J657" s="7">
        <v>6.22</v>
      </c>
      <c r="K657" s="2" t="s">
        <v>778</v>
      </c>
      <c r="L657" s="16" t="s">
        <v>919</v>
      </c>
      <c r="M657" s="4" t="s">
        <v>563</v>
      </c>
      <c r="N657" s="2" t="s">
        <v>564</v>
      </c>
      <c r="O657" s="2" t="s">
        <v>568</v>
      </c>
      <c r="P657" s="2" t="s">
        <v>577</v>
      </c>
      <c r="Q657" s="1" t="s">
        <v>49</v>
      </c>
      <c r="R657" s="2" t="s">
        <v>585</v>
      </c>
      <c r="S657" s="8">
        <f>B657+1</f>
        <v>40645</v>
      </c>
    </row>
    <row r="658" spans="1:19" x14ac:dyDescent="0.15">
      <c r="A658" s="1">
        <v>52448</v>
      </c>
      <c r="B658" s="6">
        <f>DATE(2012,12,31)-843</f>
        <v>40431</v>
      </c>
      <c r="C658" s="2" t="s">
        <v>915</v>
      </c>
      <c r="D658" s="1">
        <v>22</v>
      </c>
      <c r="E658" s="1">
        <v>6767.43</v>
      </c>
      <c r="F658" s="1">
        <v>0.05</v>
      </c>
      <c r="G658" s="2" t="s">
        <v>562</v>
      </c>
      <c r="H658" s="10">
        <v>803.48</v>
      </c>
      <c r="I658" s="7">
        <v>320.98</v>
      </c>
      <c r="J658" s="7">
        <v>58.95</v>
      </c>
      <c r="K658" s="2" t="s">
        <v>858</v>
      </c>
      <c r="L658" s="16" t="s">
        <v>919</v>
      </c>
      <c r="M658" s="4" t="s">
        <v>563</v>
      </c>
      <c r="N658" s="2" t="s">
        <v>567</v>
      </c>
      <c r="O658" s="2" t="s">
        <v>570</v>
      </c>
      <c r="P658" s="2" t="s">
        <v>574</v>
      </c>
      <c r="Q658" s="1" t="s">
        <v>40</v>
      </c>
      <c r="R658" s="2" t="s">
        <v>586</v>
      </c>
      <c r="S658" s="8">
        <f>B658+1</f>
        <v>40432</v>
      </c>
    </row>
    <row r="659" spans="1:19" x14ac:dyDescent="0.15">
      <c r="A659" s="1">
        <v>52580</v>
      </c>
      <c r="B659" s="6">
        <f>DATE(2012,12,31)-125</f>
        <v>41149</v>
      </c>
      <c r="C659" s="2" t="s">
        <v>913</v>
      </c>
      <c r="D659" s="1">
        <v>16</v>
      </c>
      <c r="E659" s="1">
        <v>367.09</v>
      </c>
      <c r="F659" s="1">
        <v>0.04</v>
      </c>
      <c r="G659" s="2" t="s">
        <v>560</v>
      </c>
      <c r="H659" s="10">
        <v>74.2</v>
      </c>
      <c r="I659" s="7">
        <v>22.98</v>
      </c>
      <c r="J659" s="7">
        <v>1.99</v>
      </c>
      <c r="K659" s="2" t="s">
        <v>851</v>
      </c>
      <c r="L659" s="16" t="s">
        <v>919</v>
      </c>
      <c r="M659" s="4" t="s">
        <v>563</v>
      </c>
      <c r="N659" s="2" t="s">
        <v>567</v>
      </c>
      <c r="O659" s="2" t="s">
        <v>569</v>
      </c>
      <c r="P659" s="2" t="s">
        <v>572</v>
      </c>
      <c r="Q659" s="1" t="s">
        <v>252</v>
      </c>
      <c r="R659" s="2" t="s">
        <v>587</v>
      </c>
      <c r="S659" s="8">
        <f>B659+2</f>
        <v>41151</v>
      </c>
    </row>
    <row r="660" spans="1:19" x14ac:dyDescent="0.15">
      <c r="A660" s="1">
        <v>52580</v>
      </c>
      <c r="B660" s="6">
        <f>DATE(2012,12,31)-125</f>
        <v>41149</v>
      </c>
      <c r="C660" s="2" t="s">
        <v>913</v>
      </c>
      <c r="D660" s="1">
        <v>23</v>
      </c>
      <c r="E660" s="1">
        <v>139.66</v>
      </c>
      <c r="F660" s="1">
        <v>0.02</v>
      </c>
      <c r="G660" s="2" t="s">
        <v>560</v>
      </c>
      <c r="H660" s="10">
        <v>46.69</v>
      </c>
      <c r="I660" s="7">
        <v>5.68</v>
      </c>
      <c r="J660" s="7">
        <v>1.39</v>
      </c>
      <c r="K660" s="2" t="s">
        <v>851</v>
      </c>
      <c r="L660" s="16" t="s">
        <v>919</v>
      </c>
      <c r="M660" s="4" t="s">
        <v>563</v>
      </c>
      <c r="N660" s="2" t="s">
        <v>567</v>
      </c>
      <c r="O660" s="2" t="s">
        <v>568</v>
      </c>
      <c r="P660" s="2" t="s">
        <v>575</v>
      </c>
      <c r="Q660" s="1" t="s">
        <v>428</v>
      </c>
      <c r="R660" s="2" t="s">
        <v>585</v>
      </c>
      <c r="S660" s="8">
        <f>B660+2</f>
        <v>41151</v>
      </c>
    </row>
    <row r="661" spans="1:19" x14ac:dyDescent="0.15">
      <c r="A661" s="1">
        <v>53056</v>
      </c>
      <c r="B661" s="6">
        <f>DATE(2012,12,31)-424</f>
        <v>40850</v>
      </c>
      <c r="C661" s="2" t="s">
        <v>917</v>
      </c>
      <c r="D661" s="1">
        <v>13</v>
      </c>
      <c r="E661" s="1">
        <v>509.49</v>
      </c>
      <c r="F661" s="1">
        <v>7.0000000000000007E-2</v>
      </c>
      <c r="G661" s="2" t="s">
        <v>560</v>
      </c>
      <c r="H661" s="10">
        <v>-51.182099999999998</v>
      </c>
      <c r="I661" s="7">
        <v>40.99</v>
      </c>
      <c r="J661" s="7">
        <v>8.9700000000000006</v>
      </c>
      <c r="K661" s="2" t="s">
        <v>896</v>
      </c>
      <c r="L661" s="16" t="s">
        <v>919</v>
      </c>
      <c r="M661" s="4" t="s">
        <v>563</v>
      </c>
      <c r="N661" s="2" t="s">
        <v>567</v>
      </c>
      <c r="O661" s="2" t="s">
        <v>569</v>
      </c>
      <c r="P661" s="2" t="s">
        <v>583</v>
      </c>
      <c r="Q661" s="1" t="s">
        <v>722</v>
      </c>
      <c r="R661" s="2" t="s">
        <v>585</v>
      </c>
      <c r="S661" s="8">
        <f>B661+1</f>
        <v>40851</v>
      </c>
    </row>
    <row r="662" spans="1:19" x14ac:dyDescent="0.15">
      <c r="A662" s="1">
        <v>53060</v>
      </c>
      <c r="B662" s="6">
        <f>DATE(2012,12,31)-1015</f>
        <v>40259</v>
      </c>
      <c r="C662" s="2" t="s">
        <v>917</v>
      </c>
      <c r="D662" s="1">
        <v>36</v>
      </c>
      <c r="E662" s="1">
        <v>739.07</v>
      </c>
      <c r="F662" s="1">
        <v>0.1</v>
      </c>
      <c r="G662" s="2" t="s">
        <v>560</v>
      </c>
      <c r="H662" s="10">
        <v>-71.55</v>
      </c>
      <c r="I662" s="7">
        <v>20.95</v>
      </c>
      <c r="J662" s="7">
        <v>5.99</v>
      </c>
      <c r="K662" s="2" t="s">
        <v>874</v>
      </c>
      <c r="L662" s="16" t="s">
        <v>919</v>
      </c>
      <c r="M662" s="4" t="s">
        <v>563</v>
      </c>
      <c r="N662" s="2" t="s">
        <v>566</v>
      </c>
      <c r="O662" s="2" t="s">
        <v>569</v>
      </c>
      <c r="P662" s="2" t="s">
        <v>572</v>
      </c>
      <c r="Q662" s="1" t="s">
        <v>291</v>
      </c>
      <c r="R662" s="2" t="s">
        <v>585</v>
      </c>
      <c r="S662" s="8">
        <f>B662+2</f>
        <v>40261</v>
      </c>
    </row>
    <row r="663" spans="1:19" x14ac:dyDescent="0.15">
      <c r="A663" s="1">
        <v>53060</v>
      </c>
      <c r="B663" s="6">
        <f>DATE(2012,12,31)-1015</f>
        <v>40259</v>
      </c>
      <c r="C663" s="2" t="s">
        <v>917</v>
      </c>
      <c r="D663" s="1">
        <v>4</v>
      </c>
      <c r="E663" s="1">
        <v>38.58</v>
      </c>
      <c r="F663" s="1">
        <v>0.02</v>
      </c>
      <c r="G663" s="2" t="s">
        <v>560</v>
      </c>
      <c r="H663" s="10">
        <v>-2.82</v>
      </c>
      <c r="I663" s="7">
        <v>9.11</v>
      </c>
      <c r="J663" s="7">
        <v>2.15</v>
      </c>
      <c r="K663" s="2" t="s">
        <v>874</v>
      </c>
      <c r="L663" s="16" t="s">
        <v>919</v>
      </c>
      <c r="M663" s="4" t="s">
        <v>563</v>
      </c>
      <c r="N663" s="2" t="s">
        <v>566</v>
      </c>
      <c r="O663" s="2" t="s">
        <v>568</v>
      </c>
      <c r="P663" s="2" t="s">
        <v>573</v>
      </c>
      <c r="Q663" s="1" t="s">
        <v>404</v>
      </c>
      <c r="R663" s="2" t="s">
        <v>584</v>
      </c>
      <c r="S663" s="8">
        <f>B663+2</f>
        <v>40261</v>
      </c>
    </row>
    <row r="664" spans="1:19" x14ac:dyDescent="0.15">
      <c r="A664" s="1">
        <v>53283</v>
      </c>
      <c r="B664" s="6">
        <f>DATE(2012,12,31)-430</f>
        <v>40844</v>
      </c>
      <c r="C664" s="2" t="s">
        <v>913</v>
      </c>
      <c r="D664" s="1">
        <v>2</v>
      </c>
      <c r="E664" s="1">
        <v>25.07</v>
      </c>
      <c r="F664" s="1">
        <v>0.04</v>
      </c>
      <c r="G664" s="2" t="s">
        <v>560</v>
      </c>
      <c r="H664" s="10">
        <v>-27.674699999999998</v>
      </c>
      <c r="I664" s="7">
        <v>9.49</v>
      </c>
      <c r="J664" s="7">
        <v>5.76</v>
      </c>
      <c r="K664" s="2" t="s">
        <v>831</v>
      </c>
      <c r="L664" s="16" t="s">
        <v>919</v>
      </c>
      <c r="M664" s="4" t="s">
        <v>563</v>
      </c>
      <c r="N664" s="2" t="s">
        <v>564</v>
      </c>
      <c r="O664" s="2" t="s">
        <v>569</v>
      </c>
      <c r="P664" s="2" t="s">
        <v>583</v>
      </c>
      <c r="Q664" s="1" t="s">
        <v>236</v>
      </c>
      <c r="R664" s="2" t="s">
        <v>589</v>
      </c>
      <c r="S664" s="8">
        <f>B664+1</f>
        <v>40845</v>
      </c>
    </row>
    <row r="665" spans="1:19" x14ac:dyDescent="0.15">
      <c r="A665" s="1">
        <v>53344</v>
      </c>
      <c r="B665" s="6">
        <f>DATE(2012,12,31)-1041</f>
        <v>40233</v>
      </c>
      <c r="C665" s="2" t="s">
        <v>913</v>
      </c>
      <c r="D665" s="1">
        <v>36</v>
      </c>
      <c r="E665" s="1">
        <v>181.95</v>
      </c>
      <c r="F665" s="1">
        <v>0.03</v>
      </c>
      <c r="G665" s="2" t="s">
        <v>560</v>
      </c>
      <c r="H665" s="10">
        <v>-132.26150000000001</v>
      </c>
      <c r="I665" s="7">
        <v>4.8899999999999997</v>
      </c>
      <c r="J665" s="7">
        <v>6.07</v>
      </c>
      <c r="K665" s="2" t="s">
        <v>862</v>
      </c>
      <c r="L665" s="16" t="s">
        <v>919</v>
      </c>
      <c r="M665" s="4" t="s">
        <v>563</v>
      </c>
      <c r="N665" s="2" t="s">
        <v>565</v>
      </c>
      <c r="O665" s="2" t="s">
        <v>568</v>
      </c>
      <c r="P665" s="2" t="s">
        <v>88</v>
      </c>
      <c r="Q665" s="1" t="s">
        <v>697</v>
      </c>
      <c r="R665" s="2" t="s">
        <v>585</v>
      </c>
      <c r="S665" s="8">
        <f>B665+2</f>
        <v>40235</v>
      </c>
    </row>
    <row r="666" spans="1:19" x14ac:dyDescent="0.15">
      <c r="A666" s="1">
        <v>53381</v>
      </c>
      <c r="B666" s="6">
        <f>DATE(2012,12,31)-827</f>
        <v>40447</v>
      </c>
      <c r="C666" s="2" t="s">
        <v>917</v>
      </c>
      <c r="D666" s="1">
        <v>26</v>
      </c>
      <c r="E666" s="1">
        <v>287.43</v>
      </c>
      <c r="F666" s="1">
        <v>0.01</v>
      </c>
      <c r="G666" s="2" t="s">
        <v>560</v>
      </c>
      <c r="H666" s="10">
        <v>37.9</v>
      </c>
      <c r="I666" s="7">
        <v>10.98</v>
      </c>
      <c r="J666" s="7">
        <v>4.8</v>
      </c>
      <c r="K666" s="2" t="s">
        <v>806</v>
      </c>
      <c r="L666" s="16" t="s">
        <v>919</v>
      </c>
      <c r="M666" s="4" t="s">
        <v>563</v>
      </c>
      <c r="N666" s="2" t="s">
        <v>567</v>
      </c>
      <c r="O666" s="2" t="s">
        <v>568</v>
      </c>
      <c r="P666" s="2" t="s">
        <v>575</v>
      </c>
      <c r="Q666" s="1" t="s">
        <v>341</v>
      </c>
      <c r="R666" s="2" t="s">
        <v>585</v>
      </c>
      <c r="S666" s="8">
        <f>B666+1</f>
        <v>40448</v>
      </c>
    </row>
    <row r="667" spans="1:19" x14ac:dyDescent="0.15">
      <c r="A667" s="1">
        <v>53571</v>
      </c>
      <c r="B667" s="6">
        <f>DATE(2012,12,31)-291</f>
        <v>40983</v>
      </c>
      <c r="C667" s="2" t="s">
        <v>915</v>
      </c>
      <c r="D667" s="1">
        <v>21</v>
      </c>
      <c r="E667" s="1">
        <v>238.06</v>
      </c>
      <c r="F667" s="1">
        <v>0.05</v>
      </c>
      <c r="G667" s="2" t="s">
        <v>560</v>
      </c>
      <c r="H667" s="10">
        <v>56.4315</v>
      </c>
      <c r="I667" s="7">
        <v>10.91</v>
      </c>
      <c r="J667" s="7">
        <v>2.99</v>
      </c>
      <c r="K667" s="2" t="s">
        <v>852</v>
      </c>
      <c r="L667" s="16" t="s">
        <v>919</v>
      </c>
      <c r="M667" s="4" t="s">
        <v>563</v>
      </c>
      <c r="N667" s="2" t="s">
        <v>565</v>
      </c>
      <c r="O667" s="2" t="s">
        <v>568</v>
      </c>
      <c r="P667" s="2" t="s">
        <v>88</v>
      </c>
      <c r="Q667" s="1" t="s">
        <v>685</v>
      </c>
      <c r="R667" s="2" t="s">
        <v>585</v>
      </c>
      <c r="S667" s="8">
        <f>B667+2</f>
        <v>40985</v>
      </c>
    </row>
    <row r="668" spans="1:19" x14ac:dyDescent="0.15">
      <c r="A668" s="1">
        <v>53635</v>
      </c>
      <c r="B668" s="6">
        <f>DATE(2012,12,31)-166</f>
        <v>41108</v>
      </c>
      <c r="C668" s="2" t="s">
        <v>915</v>
      </c>
      <c r="D668" s="1">
        <v>33</v>
      </c>
      <c r="E668" s="1">
        <v>103.92</v>
      </c>
      <c r="F668" s="1">
        <v>0.08</v>
      </c>
      <c r="G668" s="2" t="s">
        <v>560</v>
      </c>
      <c r="H668" s="10">
        <v>-52.76</v>
      </c>
      <c r="I668" s="7">
        <v>3.14</v>
      </c>
      <c r="J668" s="7">
        <v>1.92</v>
      </c>
      <c r="K668" s="2" t="s">
        <v>779</v>
      </c>
      <c r="L668" s="16" t="s">
        <v>919</v>
      </c>
      <c r="M668" s="4" t="s">
        <v>563</v>
      </c>
      <c r="N668" s="2" t="s">
        <v>565</v>
      </c>
      <c r="O668" s="2" t="s">
        <v>568</v>
      </c>
      <c r="P668" s="2" t="s">
        <v>89</v>
      </c>
      <c r="Q668" s="1" t="s">
        <v>178</v>
      </c>
      <c r="R668" s="2" t="s">
        <v>584</v>
      </c>
      <c r="S668" s="8">
        <f>B668+2</f>
        <v>41110</v>
      </c>
    </row>
    <row r="669" spans="1:19" x14ac:dyDescent="0.15">
      <c r="A669" s="1">
        <v>53762</v>
      </c>
      <c r="B669" s="6">
        <f>DATE(2012,12,31)-213</f>
        <v>41061</v>
      </c>
      <c r="C669" s="2" t="s">
        <v>917</v>
      </c>
      <c r="D669" s="1">
        <v>28</v>
      </c>
      <c r="E669" s="1">
        <v>136.16</v>
      </c>
      <c r="F669" s="1">
        <v>7.0000000000000007E-2</v>
      </c>
      <c r="G669" s="2" t="s">
        <v>560</v>
      </c>
      <c r="H669" s="10">
        <v>58.1</v>
      </c>
      <c r="I669" s="7">
        <v>4.9800000000000004</v>
      </c>
      <c r="J669" s="7">
        <v>0.49</v>
      </c>
      <c r="K669" s="2" t="s">
        <v>765</v>
      </c>
      <c r="L669" s="16" t="s">
        <v>919</v>
      </c>
      <c r="M669" s="4" t="s">
        <v>563</v>
      </c>
      <c r="N669" s="2" t="s">
        <v>566</v>
      </c>
      <c r="O669" s="2" t="s">
        <v>568</v>
      </c>
      <c r="P669" s="2" t="s">
        <v>582</v>
      </c>
      <c r="Q669" s="1" t="s">
        <v>264</v>
      </c>
      <c r="R669" s="2" t="s">
        <v>585</v>
      </c>
      <c r="S669" s="8">
        <f>B669+1</f>
        <v>41062</v>
      </c>
    </row>
    <row r="670" spans="1:19" x14ac:dyDescent="0.15">
      <c r="A670" s="1">
        <v>54086</v>
      </c>
      <c r="B670" s="6">
        <f>DATE(2012,12,31)-116</f>
        <v>41158</v>
      </c>
      <c r="C670" s="2" t="s">
        <v>916</v>
      </c>
      <c r="D670" s="1">
        <v>23</v>
      </c>
      <c r="E670" s="1">
        <v>5062.18</v>
      </c>
      <c r="F670" s="1">
        <v>0.06</v>
      </c>
      <c r="G670" s="2" t="s">
        <v>562</v>
      </c>
      <c r="H670" s="10">
        <v>842.83</v>
      </c>
      <c r="I670" s="7">
        <v>270.97000000000003</v>
      </c>
      <c r="J670" s="7">
        <v>28.06</v>
      </c>
      <c r="K670" s="2" t="s">
        <v>808</v>
      </c>
      <c r="L670" s="16" t="s">
        <v>919</v>
      </c>
      <c r="M670" s="4" t="s">
        <v>563</v>
      </c>
      <c r="N670" s="2" t="s">
        <v>565</v>
      </c>
      <c r="O670" s="2" t="s">
        <v>569</v>
      </c>
      <c r="P670" s="2" t="s">
        <v>583</v>
      </c>
      <c r="Q670" s="1" t="s">
        <v>406</v>
      </c>
      <c r="R670" s="2" t="s">
        <v>586</v>
      </c>
      <c r="S670" s="8">
        <f t="shared" ref="S670:S675" si="5">B670+2</f>
        <v>41160</v>
      </c>
    </row>
    <row r="671" spans="1:19" x14ac:dyDescent="0.15">
      <c r="A671" s="1">
        <v>54180</v>
      </c>
      <c r="B671" s="6">
        <f>DATE(2012,12,31)-70</f>
        <v>41204</v>
      </c>
      <c r="C671" s="2" t="s">
        <v>917</v>
      </c>
      <c r="D671" s="1">
        <v>43</v>
      </c>
      <c r="E671" s="1">
        <v>913.99</v>
      </c>
      <c r="F671" s="1">
        <v>0.08</v>
      </c>
      <c r="G671" s="2" t="s">
        <v>560</v>
      </c>
      <c r="H671" s="10">
        <v>-57.75</v>
      </c>
      <c r="I671" s="7">
        <v>21.38</v>
      </c>
      <c r="J671" s="7">
        <v>8.99</v>
      </c>
      <c r="K671" s="2" t="s">
        <v>895</v>
      </c>
      <c r="L671" s="16" t="s">
        <v>919</v>
      </c>
      <c r="M671" s="4" t="s">
        <v>563</v>
      </c>
      <c r="N671" s="2" t="s">
        <v>566</v>
      </c>
      <c r="O671" s="2" t="s">
        <v>568</v>
      </c>
      <c r="P671" s="2" t="s">
        <v>571</v>
      </c>
      <c r="Q671" s="1" t="s">
        <v>127</v>
      </c>
      <c r="R671" s="2" t="s">
        <v>587</v>
      </c>
      <c r="S671" s="8">
        <f t="shared" si="5"/>
        <v>41206</v>
      </c>
    </row>
    <row r="672" spans="1:19" x14ac:dyDescent="0.15">
      <c r="A672" s="1">
        <v>54215</v>
      </c>
      <c r="B672" s="6">
        <f>DATE(2012,12,31)-437</f>
        <v>40837</v>
      </c>
      <c r="C672" s="2" t="s">
        <v>913</v>
      </c>
      <c r="D672" s="1">
        <v>14</v>
      </c>
      <c r="E672" s="1">
        <v>321.20999999999998</v>
      </c>
      <c r="F672" s="1">
        <v>0.04</v>
      </c>
      <c r="G672" s="2" t="s">
        <v>560</v>
      </c>
      <c r="H672" s="10">
        <v>53.44</v>
      </c>
      <c r="I672" s="7">
        <v>22.98</v>
      </c>
      <c r="J672" s="7">
        <v>1.99</v>
      </c>
      <c r="K672" s="2" t="s">
        <v>808</v>
      </c>
      <c r="L672" s="16" t="s">
        <v>919</v>
      </c>
      <c r="M672" s="4" t="s">
        <v>563</v>
      </c>
      <c r="N672" s="2" t="s">
        <v>565</v>
      </c>
      <c r="O672" s="2" t="s">
        <v>569</v>
      </c>
      <c r="P672" s="2" t="s">
        <v>572</v>
      </c>
      <c r="Q672" s="1" t="s">
        <v>252</v>
      </c>
      <c r="R672" s="2" t="s">
        <v>587</v>
      </c>
      <c r="S672" s="8">
        <f t="shared" si="5"/>
        <v>40839</v>
      </c>
    </row>
    <row r="673" spans="1:19" x14ac:dyDescent="0.15">
      <c r="A673" s="1">
        <v>54336</v>
      </c>
      <c r="B673" s="6">
        <f>DATE(2012,12,31)-991</f>
        <v>40283</v>
      </c>
      <c r="C673" s="2" t="s">
        <v>914</v>
      </c>
      <c r="D673" s="1">
        <v>50</v>
      </c>
      <c r="E673" s="1">
        <v>952.21</v>
      </c>
      <c r="F673" s="1">
        <v>0.05</v>
      </c>
      <c r="G673" s="2" t="s">
        <v>560</v>
      </c>
      <c r="H673" s="10">
        <v>403.83</v>
      </c>
      <c r="I673" s="7">
        <v>18.84</v>
      </c>
      <c r="J673" s="7">
        <v>3.62</v>
      </c>
      <c r="K673" s="2" t="s">
        <v>762</v>
      </c>
      <c r="L673" s="16" t="s">
        <v>919</v>
      </c>
      <c r="M673" s="4" t="s">
        <v>563</v>
      </c>
      <c r="N673" s="2" t="s">
        <v>567</v>
      </c>
      <c r="O673" s="2" t="s">
        <v>570</v>
      </c>
      <c r="P673" s="2" t="s">
        <v>579</v>
      </c>
      <c r="Q673" s="1" t="s">
        <v>188</v>
      </c>
      <c r="R673" s="2" t="s">
        <v>584</v>
      </c>
      <c r="S673" s="8">
        <f t="shared" si="5"/>
        <v>40285</v>
      </c>
    </row>
    <row r="674" spans="1:19" x14ac:dyDescent="0.15">
      <c r="A674" s="1">
        <v>54467</v>
      </c>
      <c r="B674" s="6">
        <f>DATE(2012,12,31)-805</f>
        <v>40469</v>
      </c>
      <c r="C674" s="2" t="s">
        <v>916</v>
      </c>
      <c r="D674" s="1">
        <v>37</v>
      </c>
      <c r="E674" s="1">
        <v>436.67</v>
      </c>
      <c r="F674" s="1">
        <v>0.06</v>
      </c>
      <c r="G674" s="2" t="s">
        <v>560</v>
      </c>
      <c r="H674" s="10">
        <v>51.91</v>
      </c>
      <c r="I674" s="7">
        <v>11.58</v>
      </c>
      <c r="J674" s="7">
        <v>5.72</v>
      </c>
      <c r="K674" s="2" t="s">
        <v>824</v>
      </c>
      <c r="L674" s="16" t="s">
        <v>919</v>
      </c>
      <c r="M674" s="4" t="s">
        <v>563</v>
      </c>
      <c r="N674" s="2" t="s">
        <v>565</v>
      </c>
      <c r="O674" s="2" t="s">
        <v>568</v>
      </c>
      <c r="P674" s="2" t="s">
        <v>575</v>
      </c>
      <c r="Q674" s="1" t="s">
        <v>57</v>
      </c>
      <c r="R674" s="2" t="s">
        <v>585</v>
      </c>
      <c r="S674" s="8">
        <f t="shared" si="5"/>
        <v>40471</v>
      </c>
    </row>
    <row r="675" spans="1:19" x14ac:dyDescent="0.15">
      <c r="A675" s="1">
        <v>54467</v>
      </c>
      <c r="B675" s="6">
        <f>DATE(2012,12,31)-805</f>
        <v>40469</v>
      </c>
      <c r="C675" s="2" t="s">
        <v>916</v>
      </c>
      <c r="D675" s="1">
        <v>30</v>
      </c>
      <c r="E675" s="1">
        <v>146.72</v>
      </c>
      <c r="F675" s="1">
        <v>0.06</v>
      </c>
      <c r="G675" s="2" t="s">
        <v>560</v>
      </c>
      <c r="H675" s="10">
        <v>18.260000000000002</v>
      </c>
      <c r="I675" s="7">
        <v>5.08</v>
      </c>
      <c r="J675" s="7">
        <v>2.0299999999999998</v>
      </c>
      <c r="K675" s="2" t="s">
        <v>824</v>
      </c>
      <c r="L675" s="16" t="s">
        <v>919</v>
      </c>
      <c r="M675" s="4" t="s">
        <v>563</v>
      </c>
      <c r="N675" s="2" t="s">
        <v>565</v>
      </c>
      <c r="O675" s="2" t="s">
        <v>570</v>
      </c>
      <c r="P675" s="2" t="s">
        <v>579</v>
      </c>
      <c r="Q675" s="1" t="s">
        <v>333</v>
      </c>
      <c r="R675" s="2" t="s">
        <v>584</v>
      </c>
      <c r="S675" s="8">
        <f t="shared" si="5"/>
        <v>40471</v>
      </c>
    </row>
    <row r="676" spans="1:19" x14ac:dyDescent="0.15">
      <c r="A676" s="1">
        <v>54467</v>
      </c>
      <c r="B676" s="6">
        <f>DATE(2012,12,31)-805</f>
        <v>40469</v>
      </c>
      <c r="C676" s="2" t="s">
        <v>916</v>
      </c>
      <c r="D676" s="1">
        <v>17</v>
      </c>
      <c r="E676" s="1">
        <v>74.83</v>
      </c>
      <c r="F676" s="1">
        <v>0.08</v>
      </c>
      <c r="G676" s="2" t="s">
        <v>560</v>
      </c>
      <c r="H676" s="10">
        <v>-83.71</v>
      </c>
      <c r="I676" s="7">
        <v>4.0599999999999996</v>
      </c>
      <c r="J676" s="7">
        <v>6.89</v>
      </c>
      <c r="K676" s="2" t="s">
        <v>824</v>
      </c>
      <c r="L676" s="16" t="s">
        <v>919</v>
      </c>
      <c r="M676" s="4" t="s">
        <v>563</v>
      </c>
      <c r="N676" s="2" t="s">
        <v>565</v>
      </c>
      <c r="O676" s="2" t="s">
        <v>568</v>
      </c>
      <c r="P676" s="2" t="s">
        <v>576</v>
      </c>
      <c r="Q676" s="1" t="s">
        <v>143</v>
      </c>
      <c r="R676" s="2" t="s">
        <v>585</v>
      </c>
      <c r="S676" s="8">
        <f>B676+5</f>
        <v>40474</v>
      </c>
    </row>
    <row r="677" spans="1:19" x14ac:dyDescent="0.15">
      <c r="A677" s="1">
        <v>54534</v>
      </c>
      <c r="B677" s="6">
        <f>DATE(2012,12,31)-287</f>
        <v>40987</v>
      </c>
      <c r="C677" s="2" t="s">
        <v>915</v>
      </c>
      <c r="D677" s="1">
        <v>16</v>
      </c>
      <c r="E677" s="1">
        <v>124.71</v>
      </c>
      <c r="F677" s="1">
        <v>0.01</v>
      </c>
      <c r="G677" s="2" t="s">
        <v>560</v>
      </c>
      <c r="H677" s="10">
        <v>-30.04</v>
      </c>
      <c r="I677" s="7">
        <v>7.35</v>
      </c>
      <c r="J677" s="7">
        <v>5.96</v>
      </c>
      <c r="K677" s="2" t="s">
        <v>839</v>
      </c>
      <c r="L677" s="16" t="s">
        <v>919</v>
      </c>
      <c r="M677" s="4" t="s">
        <v>563</v>
      </c>
      <c r="N677" s="2" t="s">
        <v>565</v>
      </c>
      <c r="O677" s="2" t="s">
        <v>568</v>
      </c>
      <c r="P677" s="2" t="s">
        <v>573</v>
      </c>
      <c r="Q677" s="1" t="s">
        <v>277</v>
      </c>
      <c r="R677" s="2" t="s">
        <v>585</v>
      </c>
      <c r="S677" s="8">
        <f>B677+2</f>
        <v>40989</v>
      </c>
    </row>
    <row r="678" spans="1:19" x14ac:dyDescent="0.15">
      <c r="A678" s="1">
        <v>54564</v>
      </c>
      <c r="B678" s="6">
        <f>DATE(2012,12,31)-756</f>
        <v>40518</v>
      </c>
      <c r="C678" s="2" t="s">
        <v>913</v>
      </c>
      <c r="D678" s="1">
        <v>27</v>
      </c>
      <c r="E678" s="1">
        <v>1553.8679999999999</v>
      </c>
      <c r="F678" s="1">
        <v>0.04</v>
      </c>
      <c r="G678" s="2" t="s">
        <v>561</v>
      </c>
      <c r="H678" s="10">
        <v>322.50599999999997</v>
      </c>
      <c r="I678" s="7">
        <v>65.989999999999995</v>
      </c>
      <c r="J678" s="7">
        <v>5.92</v>
      </c>
      <c r="K678" s="2" t="s">
        <v>819</v>
      </c>
      <c r="L678" s="16" t="s">
        <v>919</v>
      </c>
      <c r="M678" s="4" t="s">
        <v>563</v>
      </c>
      <c r="N678" s="2" t="s">
        <v>567</v>
      </c>
      <c r="O678" s="2" t="s">
        <v>569</v>
      </c>
      <c r="P678" s="2" t="s">
        <v>87</v>
      </c>
      <c r="Q678" s="1" t="s">
        <v>390</v>
      </c>
      <c r="R678" s="2" t="s">
        <v>585</v>
      </c>
      <c r="S678" s="8">
        <f>B678+2</f>
        <v>40520</v>
      </c>
    </row>
    <row r="679" spans="1:19" x14ac:dyDescent="0.15">
      <c r="A679" s="1">
        <v>54692</v>
      </c>
      <c r="B679" s="6">
        <f>DATE(2012,12,31)-1032</f>
        <v>40242</v>
      </c>
      <c r="C679" s="2" t="s">
        <v>914</v>
      </c>
      <c r="D679" s="1">
        <v>16</v>
      </c>
      <c r="E679" s="1">
        <v>43.65</v>
      </c>
      <c r="F679" s="1">
        <v>0.05</v>
      </c>
      <c r="G679" s="2" t="s">
        <v>560</v>
      </c>
      <c r="H679" s="10">
        <v>-3.67</v>
      </c>
      <c r="I679" s="7">
        <v>2.78</v>
      </c>
      <c r="J679" s="7">
        <v>0.97</v>
      </c>
      <c r="K679" s="2" t="s">
        <v>861</v>
      </c>
      <c r="L679" s="16" t="s">
        <v>919</v>
      </c>
      <c r="M679" s="4" t="s">
        <v>563</v>
      </c>
      <c r="N679" s="2" t="s">
        <v>564</v>
      </c>
      <c r="O679" s="2" t="s">
        <v>568</v>
      </c>
      <c r="P679" s="2" t="s">
        <v>571</v>
      </c>
      <c r="Q679" s="1" t="s">
        <v>300</v>
      </c>
      <c r="R679" s="2" t="s">
        <v>584</v>
      </c>
      <c r="S679" s="8">
        <f>B679+0</f>
        <v>40242</v>
      </c>
    </row>
    <row r="680" spans="1:19" x14ac:dyDescent="0.15">
      <c r="A680" s="1">
        <v>54692</v>
      </c>
      <c r="B680" s="6">
        <f>DATE(2012,12,31)-1032</f>
        <v>40242</v>
      </c>
      <c r="C680" s="2" t="s">
        <v>914</v>
      </c>
      <c r="D680" s="1">
        <v>27</v>
      </c>
      <c r="E680" s="1">
        <v>2478.4810000000002</v>
      </c>
      <c r="F680" s="1">
        <v>0.09</v>
      </c>
      <c r="G680" s="2" t="s">
        <v>560</v>
      </c>
      <c r="H680" s="10">
        <v>249.10199999999998</v>
      </c>
      <c r="I680" s="7">
        <v>115.99</v>
      </c>
      <c r="J680" s="7">
        <v>8.99</v>
      </c>
      <c r="K680" s="2" t="s">
        <v>861</v>
      </c>
      <c r="L680" s="16" t="s">
        <v>919</v>
      </c>
      <c r="M680" s="4" t="s">
        <v>563</v>
      </c>
      <c r="N680" s="2" t="s">
        <v>564</v>
      </c>
      <c r="O680" s="2" t="s">
        <v>569</v>
      </c>
      <c r="P680" s="2" t="s">
        <v>87</v>
      </c>
      <c r="Q680" s="1" t="s">
        <v>109</v>
      </c>
      <c r="R680" s="2" t="s">
        <v>585</v>
      </c>
      <c r="S680" s="8">
        <f>B680+2</f>
        <v>40244</v>
      </c>
    </row>
    <row r="681" spans="1:19" x14ac:dyDescent="0.15">
      <c r="A681" s="1">
        <v>54727</v>
      </c>
      <c r="B681" s="6">
        <f>DATE(2012,12,31)-749</f>
        <v>40525</v>
      </c>
      <c r="C681" s="2" t="s">
        <v>914</v>
      </c>
      <c r="D681" s="1">
        <v>29</v>
      </c>
      <c r="E681" s="1">
        <v>1427.14</v>
      </c>
      <c r="F681" s="1">
        <v>0.02</v>
      </c>
      <c r="G681" s="2" t="s">
        <v>560</v>
      </c>
      <c r="H681" s="10">
        <v>605.91999999999996</v>
      </c>
      <c r="I681" s="7">
        <v>48.04</v>
      </c>
      <c r="J681" s="7">
        <v>7.23</v>
      </c>
      <c r="K681" s="2" t="s">
        <v>824</v>
      </c>
      <c r="L681" s="16" t="s">
        <v>919</v>
      </c>
      <c r="M681" s="4" t="s">
        <v>563</v>
      </c>
      <c r="N681" s="2" t="s">
        <v>565</v>
      </c>
      <c r="O681" s="2" t="s">
        <v>568</v>
      </c>
      <c r="P681" s="2" t="s">
        <v>573</v>
      </c>
      <c r="Q681" s="1" t="s">
        <v>142</v>
      </c>
      <c r="R681" s="2" t="s">
        <v>585</v>
      </c>
      <c r="S681" s="8">
        <f>B681+1</f>
        <v>40526</v>
      </c>
    </row>
    <row r="682" spans="1:19" x14ac:dyDescent="0.15">
      <c r="A682" s="1">
        <v>54886</v>
      </c>
      <c r="B682" s="6">
        <f>DATE(2012,12,31)-149</f>
        <v>41125</v>
      </c>
      <c r="C682" s="2" t="s">
        <v>917</v>
      </c>
      <c r="D682" s="1">
        <v>39</v>
      </c>
      <c r="E682" s="1">
        <v>419.95</v>
      </c>
      <c r="F682" s="1">
        <v>0.02</v>
      </c>
      <c r="G682" s="2" t="s">
        <v>560</v>
      </c>
      <c r="H682" s="10">
        <v>-39.1</v>
      </c>
      <c r="I682" s="7">
        <v>10.64</v>
      </c>
      <c r="J682" s="7">
        <v>5.16</v>
      </c>
      <c r="K682" s="2" t="s">
        <v>813</v>
      </c>
      <c r="L682" s="16" t="s">
        <v>919</v>
      </c>
      <c r="M682" s="4" t="s">
        <v>563</v>
      </c>
      <c r="N682" s="2" t="s">
        <v>565</v>
      </c>
      <c r="O682" s="2" t="s">
        <v>570</v>
      </c>
      <c r="P682" s="2" t="s">
        <v>579</v>
      </c>
      <c r="Q682" s="1" t="s">
        <v>467</v>
      </c>
      <c r="R682" s="2" t="s">
        <v>585</v>
      </c>
      <c r="S682" s="8">
        <f>B682+1</f>
        <v>41126</v>
      </c>
    </row>
    <row r="683" spans="1:19" x14ac:dyDescent="0.15">
      <c r="A683" s="1">
        <v>54977</v>
      </c>
      <c r="B683" s="6">
        <f>DATE(2012,12,31)-540</f>
        <v>40734</v>
      </c>
      <c r="C683" s="2" t="s">
        <v>916</v>
      </c>
      <c r="D683" s="1">
        <v>24</v>
      </c>
      <c r="E683" s="1">
        <v>344.25</v>
      </c>
      <c r="F683" s="1">
        <v>0.1</v>
      </c>
      <c r="G683" s="2" t="s">
        <v>560</v>
      </c>
      <c r="H683" s="10">
        <v>23.961500000000001</v>
      </c>
      <c r="I683" s="7">
        <v>14.48</v>
      </c>
      <c r="J683" s="7">
        <v>6.46</v>
      </c>
      <c r="K683" s="2" t="s">
        <v>842</v>
      </c>
      <c r="L683" s="16" t="s">
        <v>919</v>
      </c>
      <c r="M683" s="4" t="s">
        <v>563</v>
      </c>
      <c r="N683" s="2" t="s">
        <v>564</v>
      </c>
      <c r="O683" s="2" t="s">
        <v>568</v>
      </c>
      <c r="P683" s="2" t="s">
        <v>88</v>
      </c>
      <c r="Q683" s="1" t="s">
        <v>726</v>
      </c>
      <c r="R683" s="2" t="s">
        <v>585</v>
      </c>
      <c r="S683" s="8">
        <f>B683+4</f>
        <v>40738</v>
      </c>
    </row>
    <row r="684" spans="1:19" x14ac:dyDescent="0.15">
      <c r="A684" s="1">
        <v>54977</v>
      </c>
      <c r="B684" s="6">
        <f>DATE(2012,12,31)-540</f>
        <v>40734</v>
      </c>
      <c r="C684" s="2" t="s">
        <v>916</v>
      </c>
      <c r="D684" s="1">
        <v>12</v>
      </c>
      <c r="E684" s="1">
        <v>64.77</v>
      </c>
      <c r="F684" s="1">
        <v>0.09</v>
      </c>
      <c r="G684" s="2" t="s">
        <v>560</v>
      </c>
      <c r="H684" s="10">
        <v>14.46</v>
      </c>
      <c r="I684" s="7">
        <v>5.84</v>
      </c>
      <c r="J684" s="7">
        <v>1</v>
      </c>
      <c r="K684" s="2" t="s">
        <v>842</v>
      </c>
      <c r="L684" s="16" t="s">
        <v>919</v>
      </c>
      <c r="M684" s="4" t="s">
        <v>563</v>
      </c>
      <c r="N684" s="2" t="s">
        <v>564</v>
      </c>
      <c r="O684" s="2" t="s">
        <v>568</v>
      </c>
      <c r="P684" s="2" t="s">
        <v>571</v>
      </c>
      <c r="Q684" s="1" t="s">
        <v>686</v>
      </c>
      <c r="R684" s="2" t="s">
        <v>584</v>
      </c>
      <c r="S684" s="8">
        <f>B684+5</f>
        <v>40739</v>
      </c>
    </row>
    <row r="685" spans="1:19" x14ac:dyDescent="0.15">
      <c r="A685" s="1">
        <v>55040</v>
      </c>
      <c r="B685" s="6">
        <f>DATE(2012,12,31)-1359</f>
        <v>39915</v>
      </c>
      <c r="C685" s="2" t="s">
        <v>913</v>
      </c>
      <c r="D685" s="1">
        <v>8</v>
      </c>
      <c r="E685" s="1">
        <v>292.38</v>
      </c>
      <c r="F685" s="1">
        <v>0.05</v>
      </c>
      <c r="G685" s="2" t="s">
        <v>560</v>
      </c>
      <c r="H685" s="10">
        <v>6.11</v>
      </c>
      <c r="I685" s="7">
        <v>35.51</v>
      </c>
      <c r="J685" s="7">
        <v>6.31</v>
      </c>
      <c r="K685" s="2" t="s">
        <v>785</v>
      </c>
      <c r="L685" s="16" t="s">
        <v>919</v>
      </c>
      <c r="M685" s="4" t="s">
        <v>563</v>
      </c>
      <c r="N685" s="2" t="s">
        <v>566</v>
      </c>
      <c r="O685" s="2" t="s">
        <v>568</v>
      </c>
      <c r="P685" s="2" t="s">
        <v>577</v>
      </c>
      <c r="Q685" s="1" t="s">
        <v>627</v>
      </c>
      <c r="R685" s="2" t="s">
        <v>585</v>
      </c>
      <c r="S685" s="8">
        <f>B685+2</f>
        <v>39917</v>
      </c>
    </row>
    <row r="686" spans="1:19" x14ac:dyDescent="0.15">
      <c r="A686" s="1">
        <v>55040</v>
      </c>
      <c r="B686" s="6">
        <f>DATE(2012,12,31)-1359</f>
        <v>39915</v>
      </c>
      <c r="C686" s="2" t="s">
        <v>913</v>
      </c>
      <c r="D686" s="1">
        <v>24</v>
      </c>
      <c r="E686" s="1">
        <v>191.79</v>
      </c>
      <c r="F686" s="1">
        <v>0.1</v>
      </c>
      <c r="G686" s="2" t="s">
        <v>560</v>
      </c>
      <c r="H686" s="10">
        <v>-6.34</v>
      </c>
      <c r="I686" s="7">
        <v>8.34</v>
      </c>
      <c r="J686" s="7">
        <v>2.64</v>
      </c>
      <c r="K686" s="2" t="s">
        <v>785</v>
      </c>
      <c r="L686" s="16" t="s">
        <v>919</v>
      </c>
      <c r="M686" s="4" t="s">
        <v>563</v>
      </c>
      <c r="N686" s="2" t="s">
        <v>566</v>
      </c>
      <c r="O686" s="2" t="s">
        <v>568</v>
      </c>
      <c r="P686" s="2" t="s">
        <v>89</v>
      </c>
      <c r="Q686" s="1" t="s">
        <v>96</v>
      </c>
      <c r="R686" s="2" t="s">
        <v>587</v>
      </c>
      <c r="S686" s="8">
        <f>B686+0</f>
        <v>39915</v>
      </c>
    </row>
    <row r="687" spans="1:19" x14ac:dyDescent="0.15">
      <c r="A687" s="1">
        <v>55040</v>
      </c>
      <c r="B687" s="6">
        <f>DATE(2012,12,31)-1359</f>
        <v>39915</v>
      </c>
      <c r="C687" s="2" t="s">
        <v>913</v>
      </c>
      <c r="D687" s="1">
        <v>34</v>
      </c>
      <c r="E687" s="1">
        <v>290.01</v>
      </c>
      <c r="F687" s="1">
        <v>0.03</v>
      </c>
      <c r="G687" s="2" t="s">
        <v>560</v>
      </c>
      <c r="H687" s="10">
        <v>-160.27549999999999</v>
      </c>
      <c r="I687" s="7">
        <v>8.0399999999999991</v>
      </c>
      <c r="J687" s="7">
        <v>8.94</v>
      </c>
      <c r="K687" s="2" t="s">
        <v>785</v>
      </c>
      <c r="L687" s="16" t="s">
        <v>919</v>
      </c>
      <c r="M687" s="4" t="s">
        <v>563</v>
      </c>
      <c r="N687" s="2" t="s">
        <v>566</v>
      </c>
      <c r="O687" s="2" t="s">
        <v>568</v>
      </c>
      <c r="P687" s="2" t="s">
        <v>88</v>
      </c>
      <c r="Q687" s="1" t="s">
        <v>591</v>
      </c>
      <c r="R687" s="2" t="s">
        <v>585</v>
      </c>
      <c r="S687" s="8">
        <f>B687+2</f>
        <v>39917</v>
      </c>
    </row>
    <row r="688" spans="1:19" x14ac:dyDescent="0.15">
      <c r="A688" s="1">
        <v>55040</v>
      </c>
      <c r="B688" s="6">
        <f>DATE(2012,12,31)-1359</f>
        <v>39915</v>
      </c>
      <c r="C688" s="2" t="s">
        <v>913</v>
      </c>
      <c r="D688" s="1">
        <v>2</v>
      </c>
      <c r="E688" s="1">
        <v>4692.26</v>
      </c>
      <c r="F688" s="1">
        <v>0.08</v>
      </c>
      <c r="G688" s="2" t="s">
        <v>562</v>
      </c>
      <c r="H688" s="10">
        <v>-7373.1282000000001</v>
      </c>
      <c r="I688" s="7">
        <v>2550.14</v>
      </c>
      <c r="J688" s="7">
        <v>29.7</v>
      </c>
      <c r="K688" s="2" t="s">
        <v>785</v>
      </c>
      <c r="L688" s="16" t="s">
        <v>919</v>
      </c>
      <c r="M688" s="4" t="s">
        <v>563</v>
      </c>
      <c r="N688" s="2" t="s">
        <v>566</v>
      </c>
      <c r="O688" s="2" t="s">
        <v>569</v>
      </c>
      <c r="P688" s="2" t="s">
        <v>583</v>
      </c>
      <c r="Q688" s="1" t="s">
        <v>487</v>
      </c>
      <c r="R688" s="2" t="s">
        <v>586</v>
      </c>
      <c r="S688" s="8">
        <f>B688+2</f>
        <v>39917</v>
      </c>
    </row>
    <row r="689" spans="1:19" x14ac:dyDescent="0.15">
      <c r="A689" s="1">
        <v>55139</v>
      </c>
      <c r="B689" s="6">
        <f>DATE(2012,12,31)-1079</f>
        <v>40195</v>
      </c>
      <c r="C689" s="2" t="s">
        <v>915</v>
      </c>
      <c r="D689" s="1">
        <v>41</v>
      </c>
      <c r="E689" s="1"/>
      <c r="F689" s="1">
        <v>0.04</v>
      </c>
      <c r="G689" s="2" t="s">
        <v>560</v>
      </c>
      <c r="H689" s="10">
        <v>-81.55</v>
      </c>
      <c r="I689" s="7">
        <v>13.9</v>
      </c>
      <c r="J689" s="7">
        <v>7.59</v>
      </c>
      <c r="K689" s="2" t="s">
        <v>789</v>
      </c>
      <c r="L689" s="16" t="s">
        <v>919</v>
      </c>
      <c r="M689" s="4" t="s">
        <v>563</v>
      </c>
      <c r="N689" s="2" t="s">
        <v>565</v>
      </c>
      <c r="O689" s="2" t="s">
        <v>568</v>
      </c>
      <c r="P689" s="2" t="s">
        <v>89</v>
      </c>
      <c r="Q689" s="1" t="s">
        <v>212</v>
      </c>
      <c r="R689" s="2" t="s">
        <v>587</v>
      </c>
      <c r="S689" s="8">
        <f>B689+1</f>
        <v>40196</v>
      </c>
    </row>
    <row r="690" spans="1:19" x14ac:dyDescent="0.15">
      <c r="A690" s="1">
        <v>55203</v>
      </c>
      <c r="B690" s="6">
        <f>DATE(2012,12,31)-995</f>
        <v>40279</v>
      </c>
      <c r="C690" s="2" t="s">
        <v>916</v>
      </c>
      <c r="D690" s="1">
        <v>18</v>
      </c>
      <c r="E690" s="1"/>
      <c r="F690" s="1">
        <v>0.05</v>
      </c>
      <c r="G690" s="2" t="s">
        <v>560</v>
      </c>
      <c r="H690" s="10">
        <v>0.71100000000000563</v>
      </c>
      <c r="I690" s="7">
        <v>65.989999999999995</v>
      </c>
      <c r="J690" s="7">
        <v>7.69</v>
      </c>
      <c r="K690" s="2" t="s">
        <v>791</v>
      </c>
      <c r="L690" s="16" t="s">
        <v>919</v>
      </c>
      <c r="M690" s="4" t="s">
        <v>563</v>
      </c>
      <c r="N690" s="2" t="s">
        <v>567</v>
      </c>
      <c r="O690" s="2" t="s">
        <v>569</v>
      </c>
      <c r="P690" s="2" t="s">
        <v>87</v>
      </c>
      <c r="Q690" s="1" t="s">
        <v>326</v>
      </c>
      <c r="R690" s="2" t="s">
        <v>585</v>
      </c>
      <c r="S690" s="8">
        <f>B690+0</f>
        <v>40279</v>
      </c>
    </row>
    <row r="691" spans="1:19" x14ac:dyDescent="0.15">
      <c r="A691" s="1">
        <v>55330</v>
      </c>
      <c r="B691" s="6">
        <f>DATE(2012,12,31)-1237</f>
        <v>40037</v>
      </c>
      <c r="C691" s="2" t="s">
        <v>914</v>
      </c>
      <c r="D691" s="1">
        <v>49</v>
      </c>
      <c r="E691" s="1"/>
      <c r="F691" s="1">
        <v>0</v>
      </c>
      <c r="G691" s="2" t="s">
        <v>560</v>
      </c>
      <c r="H691" s="10">
        <v>141.16999999999999</v>
      </c>
      <c r="I691" s="7">
        <v>12.58</v>
      </c>
      <c r="J691" s="7">
        <v>5.16</v>
      </c>
      <c r="K691" s="2" t="s">
        <v>838</v>
      </c>
      <c r="L691" s="16" t="s">
        <v>919</v>
      </c>
      <c r="M691" s="4" t="s">
        <v>563</v>
      </c>
      <c r="N691" s="2" t="s">
        <v>567</v>
      </c>
      <c r="O691" s="2" t="s">
        <v>570</v>
      </c>
      <c r="P691" s="2" t="s">
        <v>579</v>
      </c>
      <c r="Q691" s="1" t="s">
        <v>53</v>
      </c>
      <c r="R691" s="2" t="s">
        <v>585</v>
      </c>
      <c r="S691" s="8">
        <f>B691+0</f>
        <v>40037</v>
      </c>
    </row>
    <row r="692" spans="1:19" x14ac:dyDescent="0.15">
      <c r="A692" s="1">
        <v>55431</v>
      </c>
      <c r="B692" s="6">
        <f>DATE(2012,12,31)-206</f>
        <v>41068</v>
      </c>
      <c r="C692" s="2" t="s">
        <v>915</v>
      </c>
      <c r="D692" s="1">
        <v>39</v>
      </c>
      <c r="E692" s="1"/>
      <c r="F692" s="1">
        <v>0.1</v>
      </c>
      <c r="G692" s="2" t="s">
        <v>560</v>
      </c>
      <c r="H692" s="10">
        <v>-17.78</v>
      </c>
      <c r="I692" s="7">
        <v>1.6</v>
      </c>
      <c r="J692" s="7">
        <v>1.29</v>
      </c>
      <c r="K692" s="2" t="s">
        <v>904</v>
      </c>
      <c r="L692" s="16" t="s">
        <v>919</v>
      </c>
      <c r="M692" s="4" t="s">
        <v>563</v>
      </c>
      <c r="N692" s="2" t="s">
        <v>567</v>
      </c>
      <c r="O692" s="2" t="s">
        <v>568</v>
      </c>
      <c r="P692" s="2" t="s">
        <v>571</v>
      </c>
      <c r="Q692" s="1" t="s">
        <v>45</v>
      </c>
      <c r="R692" s="2" t="s">
        <v>584</v>
      </c>
      <c r="S692" s="8">
        <f>B692+1</f>
        <v>41069</v>
      </c>
    </row>
    <row r="693" spans="1:19" x14ac:dyDescent="0.15">
      <c r="A693" s="1">
        <v>55494</v>
      </c>
      <c r="B693" s="6">
        <f>DATE(2012,12,31)-189</f>
        <v>41085</v>
      </c>
      <c r="C693" s="2" t="s">
        <v>915</v>
      </c>
      <c r="D693" s="1">
        <v>4</v>
      </c>
      <c r="E693" s="1">
        <v>57.82</v>
      </c>
      <c r="F693" s="1">
        <v>0.08</v>
      </c>
      <c r="G693" s="2" t="s">
        <v>561</v>
      </c>
      <c r="H693" s="10">
        <v>0.84999999999999787</v>
      </c>
      <c r="I693" s="7">
        <v>10.98</v>
      </c>
      <c r="J693" s="7">
        <v>4.8</v>
      </c>
      <c r="K693" s="2" t="s">
        <v>828</v>
      </c>
      <c r="L693" s="16" t="s">
        <v>919</v>
      </c>
      <c r="M693" s="4" t="s">
        <v>563</v>
      </c>
      <c r="N693" s="2" t="s">
        <v>565</v>
      </c>
      <c r="O693" s="2" t="s">
        <v>568</v>
      </c>
      <c r="P693" s="2" t="s">
        <v>575</v>
      </c>
      <c r="Q693" s="1" t="s">
        <v>341</v>
      </c>
      <c r="R693" s="2" t="s">
        <v>585</v>
      </c>
      <c r="S693" s="8">
        <f>B693+2</f>
        <v>41087</v>
      </c>
    </row>
    <row r="694" spans="1:19" x14ac:dyDescent="0.15">
      <c r="A694" s="1">
        <v>55494</v>
      </c>
      <c r="B694" s="6">
        <f>DATE(2012,12,31)-189</f>
        <v>41085</v>
      </c>
      <c r="C694" s="2" t="s">
        <v>915</v>
      </c>
      <c r="D694" s="1">
        <v>49</v>
      </c>
      <c r="E694" s="1">
        <v>544.89</v>
      </c>
      <c r="F694" s="1">
        <v>0.09</v>
      </c>
      <c r="G694" s="2" t="s">
        <v>560</v>
      </c>
      <c r="H694" s="10">
        <v>-115.66</v>
      </c>
      <c r="I694" s="7">
        <v>11.97</v>
      </c>
      <c r="J694" s="7">
        <v>5.81</v>
      </c>
      <c r="K694" s="2" t="s">
        <v>828</v>
      </c>
      <c r="L694" s="16" t="s">
        <v>919</v>
      </c>
      <c r="M694" s="4" t="s">
        <v>563</v>
      </c>
      <c r="N694" s="2" t="s">
        <v>565</v>
      </c>
      <c r="O694" s="2" t="s">
        <v>568</v>
      </c>
      <c r="P694" s="2" t="s">
        <v>571</v>
      </c>
      <c r="Q694" s="1" t="s">
        <v>163</v>
      </c>
      <c r="R694" s="2" t="s">
        <v>587</v>
      </c>
      <c r="S694" s="8">
        <f>B694+1</f>
        <v>41086</v>
      </c>
    </row>
    <row r="695" spans="1:19" x14ac:dyDescent="0.15">
      <c r="A695" s="1">
        <v>55554</v>
      </c>
      <c r="B695" s="6">
        <f>DATE(2012,12,31)-1141</f>
        <v>40133</v>
      </c>
      <c r="C695" s="2" t="s">
        <v>917</v>
      </c>
      <c r="D695" s="1">
        <v>6</v>
      </c>
      <c r="E695" s="1">
        <v>122.09</v>
      </c>
      <c r="F695" s="1">
        <v>0.04</v>
      </c>
      <c r="G695" s="2" t="s">
        <v>560</v>
      </c>
      <c r="H695" s="10">
        <v>-15.2</v>
      </c>
      <c r="I695" s="7">
        <v>18.97</v>
      </c>
      <c r="J695" s="7">
        <v>9.5399999999999991</v>
      </c>
      <c r="K695" s="2" t="s">
        <v>867</v>
      </c>
      <c r="L695" s="16" t="s">
        <v>919</v>
      </c>
      <c r="M695" s="4" t="s">
        <v>563</v>
      </c>
      <c r="N695" s="2" t="s">
        <v>565</v>
      </c>
      <c r="O695" s="2" t="s">
        <v>568</v>
      </c>
      <c r="P695" s="2" t="s">
        <v>573</v>
      </c>
      <c r="Q695" s="1" t="s">
        <v>522</v>
      </c>
      <c r="R695" s="2" t="s">
        <v>585</v>
      </c>
      <c r="S695" s="8">
        <f>B695+1</f>
        <v>40134</v>
      </c>
    </row>
    <row r="696" spans="1:19" x14ac:dyDescent="0.15">
      <c r="A696" s="1">
        <v>55554</v>
      </c>
      <c r="B696" s="6">
        <f>DATE(2012,12,31)-1141</f>
        <v>40133</v>
      </c>
      <c r="C696" s="2" t="s">
        <v>917</v>
      </c>
      <c r="D696" s="1">
        <v>49</v>
      </c>
      <c r="E696" s="1">
        <v>150.06</v>
      </c>
      <c r="F696" s="1">
        <v>0.02</v>
      </c>
      <c r="G696" s="2" t="s">
        <v>560</v>
      </c>
      <c r="H696" s="10">
        <v>30.97</v>
      </c>
      <c r="I696" s="7">
        <v>2.88</v>
      </c>
      <c r="J696" s="7">
        <v>0.7</v>
      </c>
      <c r="K696" s="2" t="s">
        <v>867</v>
      </c>
      <c r="L696" s="16" t="s">
        <v>919</v>
      </c>
      <c r="M696" s="4" t="s">
        <v>563</v>
      </c>
      <c r="N696" s="2" t="s">
        <v>565</v>
      </c>
      <c r="O696" s="2" t="s">
        <v>568</v>
      </c>
      <c r="P696" s="2" t="s">
        <v>571</v>
      </c>
      <c r="Q696" s="1" t="s">
        <v>262</v>
      </c>
      <c r="R696" s="2" t="s">
        <v>584</v>
      </c>
      <c r="S696" s="8">
        <f>B696+3</f>
        <v>40136</v>
      </c>
    </row>
    <row r="697" spans="1:19" x14ac:dyDescent="0.15">
      <c r="A697" s="1">
        <v>55554</v>
      </c>
      <c r="B697" s="6">
        <f>DATE(2012,12,31)-1141</f>
        <v>40133</v>
      </c>
      <c r="C697" s="2" t="s">
        <v>917</v>
      </c>
      <c r="D697" s="1">
        <v>9</v>
      </c>
      <c r="E697" s="1">
        <v>95.09</v>
      </c>
      <c r="F697" s="1">
        <v>0.09</v>
      </c>
      <c r="G697" s="2" t="s">
        <v>560</v>
      </c>
      <c r="H697" s="10">
        <v>-13.53</v>
      </c>
      <c r="I697" s="7">
        <v>10.98</v>
      </c>
      <c r="J697" s="7">
        <v>3.37</v>
      </c>
      <c r="K697" s="2" t="s">
        <v>867</v>
      </c>
      <c r="L697" s="16" t="s">
        <v>919</v>
      </c>
      <c r="M697" s="4" t="s">
        <v>563</v>
      </c>
      <c r="N697" s="2" t="s">
        <v>565</v>
      </c>
      <c r="O697" s="2" t="s">
        <v>568</v>
      </c>
      <c r="P697" s="2" t="s">
        <v>89</v>
      </c>
      <c r="Q697" s="1" t="s">
        <v>676</v>
      </c>
      <c r="R697" s="2" t="s">
        <v>587</v>
      </c>
      <c r="S697" s="8">
        <f>B697+1</f>
        <v>40134</v>
      </c>
    </row>
    <row r="698" spans="1:19" x14ac:dyDescent="0.15">
      <c r="A698" s="1">
        <v>55651</v>
      </c>
      <c r="B698" s="6">
        <f>DATE(2012,12,31)-299</f>
        <v>40975</v>
      </c>
      <c r="C698" s="2" t="s">
        <v>914</v>
      </c>
      <c r="D698" s="1">
        <v>11</v>
      </c>
      <c r="E698" s="1">
        <v>995.72400000000005</v>
      </c>
      <c r="F698" s="1">
        <v>0.05</v>
      </c>
      <c r="G698" s="2" t="s">
        <v>560</v>
      </c>
      <c r="H698" s="10">
        <v>-117.61199999999999</v>
      </c>
      <c r="I698" s="7">
        <v>110.99</v>
      </c>
      <c r="J698" s="7">
        <v>2.5</v>
      </c>
      <c r="K698" s="2" t="s">
        <v>896</v>
      </c>
      <c r="L698" s="16" t="s">
        <v>919</v>
      </c>
      <c r="M698" s="4" t="s">
        <v>563</v>
      </c>
      <c r="N698" s="2" t="s">
        <v>567</v>
      </c>
      <c r="O698" s="2" t="s">
        <v>569</v>
      </c>
      <c r="P698" s="2" t="s">
        <v>87</v>
      </c>
      <c r="Q698" s="1" t="s">
        <v>473</v>
      </c>
      <c r="R698" s="2" t="s">
        <v>585</v>
      </c>
      <c r="S698" s="8">
        <f>B698+1</f>
        <v>40976</v>
      </c>
    </row>
    <row r="699" spans="1:19" x14ac:dyDescent="0.15">
      <c r="A699" s="1">
        <v>56006</v>
      </c>
      <c r="B699" s="6">
        <f>DATE(2012,12,31)-457</f>
        <v>40817</v>
      </c>
      <c r="C699" s="2" t="s">
        <v>917</v>
      </c>
      <c r="D699" s="1">
        <v>16</v>
      </c>
      <c r="E699" s="1">
        <v>102.99</v>
      </c>
      <c r="F699" s="1">
        <v>0.1</v>
      </c>
      <c r="G699" s="2" t="s">
        <v>560</v>
      </c>
      <c r="H699" s="10">
        <v>-102.17</v>
      </c>
      <c r="I699" s="7">
        <v>6.48</v>
      </c>
      <c r="J699" s="7">
        <v>9.68</v>
      </c>
      <c r="K699" s="2" t="s">
        <v>908</v>
      </c>
      <c r="L699" s="16" t="s">
        <v>919</v>
      </c>
      <c r="M699" s="4" t="s">
        <v>563</v>
      </c>
      <c r="N699" s="2" t="s">
        <v>565</v>
      </c>
      <c r="O699" s="2" t="s">
        <v>568</v>
      </c>
      <c r="P699" s="2" t="s">
        <v>573</v>
      </c>
      <c r="Q699" s="1" t="s">
        <v>698</v>
      </c>
      <c r="R699" s="2" t="s">
        <v>585</v>
      </c>
      <c r="S699" s="8">
        <f>B699+0</f>
        <v>40817</v>
      </c>
    </row>
    <row r="700" spans="1:19" x14ac:dyDescent="0.15">
      <c r="A700" s="1">
        <v>56006</v>
      </c>
      <c r="B700" s="6">
        <f>DATE(2012,12,31)-457</f>
        <v>40817</v>
      </c>
      <c r="C700" s="2" t="s">
        <v>917</v>
      </c>
      <c r="D700" s="1">
        <v>20</v>
      </c>
      <c r="E700" s="1">
        <v>1429.088</v>
      </c>
      <c r="F700" s="1">
        <v>0.06</v>
      </c>
      <c r="G700" s="2" t="s">
        <v>560</v>
      </c>
      <c r="H700" s="10">
        <v>500.04899999999998</v>
      </c>
      <c r="I700" s="7">
        <v>85.99</v>
      </c>
      <c r="J700" s="7">
        <v>1.25</v>
      </c>
      <c r="K700" s="2" t="s">
        <v>908</v>
      </c>
      <c r="L700" s="16" t="s">
        <v>919</v>
      </c>
      <c r="M700" s="4" t="s">
        <v>563</v>
      </c>
      <c r="N700" s="2" t="s">
        <v>565</v>
      </c>
      <c r="O700" s="2" t="s">
        <v>569</v>
      </c>
      <c r="P700" s="2" t="s">
        <v>87</v>
      </c>
      <c r="Q700" s="1" t="s">
        <v>683</v>
      </c>
      <c r="R700" s="2" t="s">
        <v>587</v>
      </c>
      <c r="S700" s="8">
        <f t="shared" ref="S700:S705" si="6">B700+2</f>
        <v>40819</v>
      </c>
    </row>
    <row r="701" spans="1:19" x14ac:dyDescent="0.15">
      <c r="A701" s="1">
        <v>56130</v>
      </c>
      <c r="B701" s="6">
        <f>DATE(2012,12,31)-398</f>
        <v>40876</v>
      </c>
      <c r="C701" s="2" t="s">
        <v>914</v>
      </c>
      <c r="D701" s="1">
        <v>13</v>
      </c>
      <c r="E701" s="1">
        <v>246.06</v>
      </c>
      <c r="F701" s="1">
        <v>0.08</v>
      </c>
      <c r="G701" s="2" t="s">
        <v>560</v>
      </c>
      <c r="H701" s="10">
        <v>52.33</v>
      </c>
      <c r="I701" s="7">
        <v>18.7</v>
      </c>
      <c r="J701" s="7">
        <v>8.99</v>
      </c>
      <c r="K701" s="2" t="s">
        <v>906</v>
      </c>
      <c r="L701" s="16" t="s">
        <v>919</v>
      </c>
      <c r="M701" s="4" t="s">
        <v>563</v>
      </c>
      <c r="N701" s="2" t="s">
        <v>567</v>
      </c>
      <c r="O701" s="2" t="s">
        <v>570</v>
      </c>
      <c r="P701" s="2" t="s">
        <v>579</v>
      </c>
      <c r="Q701" s="1" t="s">
        <v>284</v>
      </c>
      <c r="R701" s="2" t="s">
        <v>587</v>
      </c>
      <c r="S701" s="8">
        <f t="shared" si="6"/>
        <v>40878</v>
      </c>
    </row>
    <row r="702" spans="1:19" x14ac:dyDescent="0.15">
      <c r="A702" s="1">
        <v>56130</v>
      </c>
      <c r="B702" s="6">
        <f>DATE(2012,12,31)-398</f>
        <v>40876</v>
      </c>
      <c r="C702" s="2" t="s">
        <v>914</v>
      </c>
      <c r="D702" s="1">
        <v>25</v>
      </c>
      <c r="E702" s="1">
        <v>41.87</v>
      </c>
      <c r="F702" s="1">
        <v>0.05</v>
      </c>
      <c r="G702" s="2" t="s">
        <v>560</v>
      </c>
      <c r="H702" s="10">
        <v>-25.52</v>
      </c>
      <c r="I702" s="7">
        <v>1.68</v>
      </c>
      <c r="J702" s="7">
        <v>1.57</v>
      </c>
      <c r="K702" s="2" t="s">
        <v>906</v>
      </c>
      <c r="L702" s="16" t="s">
        <v>919</v>
      </c>
      <c r="M702" s="4" t="s">
        <v>563</v>
      </c>
      <c r="N702" s="2" t="s">
        <v>567</v>
      </c>
      <c r="O702" s="2" t="s">
        <v>568</v>
      </c>
      <c r="P702" s="2" t="s">
        <v>571</v>
      </c>
      <c r="Q702" s="1" t="s">
        <v>727</v>
      </c>
      <c r="R702" s="2" t="s">
        <v>584</v>
      </c>
      <c r="S702" s="8">
        <f t="shared" si="6"/>
        <v>40878</v>
      </c>
    </row>
    <row r="703" spans="1:19" x14ac:dyDescent="0.15">
      <c r="A703" s="1">
        <v>56162</v>
      </c>
      <c r="B703" s="6">
        <f>DATE(2012,12,31)-616</f>
        <v>40658</v>
      </c>
      <c r="C703" s="2" t="s">
        <v>915</v>
      </c>
      <c r="D703" s="1">
        <v>30</v>
      </c>
      <c r="E703" s="1"/>
      <c r="F703" s="1">
        <v>0.09</v>
      </c>
      <c r="G703" s="2" t="s">
        <v>562</v>
      </c>
      <c r="H703" s="10">
        <v>209.54</v>
      </c>
      <c r="I703" s="7">
        <v>180.98</v>
      </c>
      <c r="J703" s="7">
        <v>30</v>
      </c>
      <c r="K703" s="2" t="s">
        <v>760</v>
      </c>
      <c r="L703" s="16" t="s">
        <v>919</v>
      </c>
      <c r="M703" s="4" t="s">
        <v>563</v>
      </c>
      <c r="N703" s="2" t="s">
        <v>567</v>
      </c>
      <c r="O703" s="2" t="s">
        <v>570</v>
      </c>
      <c r="P703" s="2" t="s">
        <v>574</v>
      </c>
      <c r="Q703" s="1" t="s">
        <v>303</v>
      </c>
      <c r="R703" s="2" t="s">
        <v>586</v>
      </c>
      <c r="S703" s="8">
        <f t="shared" si="6"/>
        <v>40660</v>
      </c>
    </row>
    <row r="704" spans="1:19" x14ac:dyDescent="0.15">
      <c r="A704" s="1">
        <v>56261</v>
      </c>
      <c r="B704" s="6">
        <f>DATE(2012,12,31)-308</f>
        <v>40966</v>
      </c>
      <c r="C704" s="2" t="s">
        <v>917</v>
      </c>
      <c r="D704" s="1">
        <v>43</v>
      </c>
      <c r="E704" s="1"/>
      <c r="F704" s="1">
        <v>0.02</v>
      </c>
      <c r="G704" s="2" t="s">
        <v>562</v>
      </c>
      <c r="H704" s="10">
        <v>483.95</v>
      </c>
      <c r="I704" s="7">
        <v>376.13</v>
      </c>
      <c r="J704" s="7">
        <v>85.63</v>
      </c>
      <c r="K704" s="2" t="s">
        <v>814</v>
      </c>
      <c r="L704" s="16" t="s">
        <v>919</v>
      </c>
      <c r="M704" s="4" t="s">
        <v>563</v>
      </c>
      <c r="N704" s="2" t="s">
        <v>566</v>
      </c>
      <c r="O704" s="2" t="s">
        <v>570</v>
      </c>
      <c r="P704" s="2" t="s">
        <v>578</v>
      </c>
      <c r="Q704" s="1" t="s">
        <v>298</v>
      </c>
      <c r="R704" s="2" t="s">
        <v>588</v>
      </c>
      <c r="S704" s="8">
        <f t="shared" si="6"/>
        <v>40968</v>
      </c>
    </row>
    <row r="705" spans="1:19" x14ac:dyDescent="0.15">
      <c r="A705" s="1">
        <v>56358</v>
      </c>
      <c r="B705" s="6">
        <f>DATE(2012,12,31)-305</f>
        <v>40969</v>
      </c>
      <c r="C705" s="2" t="s">
        <v>915</v>
      </c>
      <c r="D705" s="1">
        <v>1</v>
      </c>
      <c r="E705" s="1"/>
      <c r="F705" s="1">
        <v>0</v>
      </c>
      <c r="G705" s="2" t="s">
        <v>560</v>
      </c>
      <c r="H705" s="10">
        <v>-8.06</v>
      </c>
      <c r="I705" s="7">
        <v>5.89</v>
      </c>
      <c r="J705" s="7">
        <v>5.57</v>
      </c>
      <c r="K705" s="2" t="s">
        <v>777</v>
      </c>
      <c r="L705" s="16" t="s">
        <v>919</v>
      </c>
      <c r="M705" s="4" t="s">
        <v>563</v>
      </c>
      <c r="N705" s="2" t="s">
        <v>566</v>
      </c>
      <c r="O705" s="2" t="s">
        <v>570</v>
      </c>
      <c r="P705" s="2" t="s">
        <v>579</v>
      </c>
      <c r="Q705" s="1" t="s">
        <v>695</v>
      </c>
      <c r="R705" s="2" t="s">
        <v>585</v>
      </c>
      <c r="S705" s="8">
        <f t="shared" si="6"/>
        <v>40971</v>
      </c>
    </row>
    <row r="706" spans="1:19" x14ac:dyDescent="0.15">
      <c r="A706" s="1">
        <v>56452</v>
      </c>
      <c r="B706" s="6">
        <f>DATE(2012,12,31)-1416</f>
        <v>39858</v>
      </c>
      <c r="C706" s="2" t="s">
        <v>915</v>
      </c>
      <c r="D706" s="1">
        <v>34</v>
      </c>
      <c r="E706" s="1"/>
      <c r="F706" s="1">
        <v>0</v>
      </c>
      <c r="G706" s="2" t="s">
        <v>562</v>
      </c>
      <c r="H706" s="10">
        <v>1192.04</v>
      </c>
      <c r="I706" s="7">
        <v>236.97</v>
      </c>
      <c r="J706" s="7">
        <v>59.24</v>
      </c>
      <c r="K706" s="2" t="s">
        <v>776</v>
      </c>
      <c r="L706" s="16" t="s">
        <v>919</v>
      </c>
      <c r="M706" s="4" t="s">
        <v>563</v>
      </c>
      <c r="N706" s="2" t="s">
        <v>566</v>
      </c>
      <c r="O706" s="2" t="s">
        <v>570</v>
      </c>
      <c r="P706" s="2" t="s">
        <v>578</v>
      </c>
      <c r="Q706" s="1" t="s">
        <v>167</v>
      </c>
      <c r="R706" s="2" t="s">
        <v>588</v>
      </c>
      <c r="S706" s="8">
        <f>B706+1</f>
        <v>39859</v>
      </c>
    </row>
    <row r="707" spans="1:19" x14ac:dyDescent="0.15">
      <c r="A707" s="1">
        <v>56483</v>
      </c>
      <c r="B707" s="6">
        <f>DATE(2012,12,31)-1411</f>
        <v>39863</v>
      </c>
      <c r="C707" s="2" t="s">
        <v>913</v>
      </c>
      <c r="D707" s="1">
        <v>37</v>
      </c>
      <c r="E707" s="1"/>
      <c r="F707" s="1">
        <v>0.05</v>
      </c>
      <c r="G707" s="2" t="s">
        <v>560</v>
      </c>
      <c r="H707" s="10">
        <v>-104.57</v>
      </c>
      <c r="I707" s="7">
        <v>4.28</v>
      </c>
      <c r="J707" s="7">
        <v>5.17</v>
      </c>
      <c r="K707" s="2" t="s">
        <v>314</v>
      </c>
      <c r="L707" s="16" t="s">
        <v>919</v>
      </c>
      <c r="M707" s="4" t="s">
        <v>563</v>
      </c>
      <c r="N707" s="2" t="s">
        <v>565</v>
      </c>
      <c r="O707" s="2" t="s">
        <v>568</v>
      </c>
      <c r="P707" s="2" t="s">
        <v>573</v>
      </c>
      <c r="Q707" s="1" t="s">
        <v>46</v>
      </c>
      <c r="R707" s="2" t="s">
        <v>585</v>
      </c>
      <c r="S707" s="8">
        <f>B707+0</f>
        <v>39863</v>
      </c>
    </row>
    <row r="708" spans="1:19" x14ac:dyDescent="0.15">
      <c r="A708" s="1">
        <v>56484</v>
      </c>
      <c r="B708" s="6">
        <f>DATE(2012,12,31)-406</f>
        <v>40868</v>
      </c>
      <c r="C708" s="2" t="s">
        <v>915</v>
      </c>
      <c r="D708" s="1">
        <v>6</v>
      </c>
      <c r="E708" s="1"/>
      <c r="F708" s="1">
        <v>0.1</v>
      </c>
      <c r="G708" s="2" t="s">
        <v>560</v>
      </c>
      <c r="H708" s="10">
        <v>28.339000000000002</v>
      </c>
      <c r="I708" s="7">
        <v>30.56</v>
      </c>
      <c r="J708" s="7">
        <v>2.99</v>
      </c>
      <c r="K708" s="2" t="s">
        <v>825</v>
      </c>
      <c r="L708" s="16" t="s">
        <v>919</v>
      </c>
      <c r="M708" s="4" t="s">
        <v>563</v>
      </c>
      <c r="N708" s="2" t="s">
        <v>565</v>
      </c>
      <c r="O708" s="2" t="s">
        <v>568</v>
      </c>
      <c r="P708" s="2" t="s">
        <v>88</v>
      </c>
      <c r="Q708" s="1" t="s">
        <v>533</v>
      </c>
      <c r="R708" s="2" t="s">
        <v>585</v>
      </c>
      <c r="S708" s="8">
        <f>B708+1</f>
        <v>40869</v>
      </c>
    </row>
    <row r="709" spans="1:19" x14ac:dyDescent="0.15">
      <c r="A709" s="1">
        <v>56484</v>
      </c>
      <c r="B709" s="6">
        <f>DATE(2012,12,31)-406</f>
        <v>40868</v>
      </c>
      <c r="C709" s="2" t="s">
        <v>915</v>
      </c>
      <c r="D709" s="1">
        <v>15</v>
      </c>
      <c r="E709" s="1"/>
      <c r="F709" s="1">
        <v>0</v>
      </c>
      <c r="G709" s="2" t="s">
        <v>560</v>
      </c>
      <c r="H709" s="10">
        <v>-173.66</v>
      </c>
      <c r="I709" s="7">
        <v>73.98</v>
      </c>
      <c r="J709" s="7">
        <v>12.14</v>
      </c>
      <c r="K709" s="2" t="s">
        <v>825</v>
      </c>
      <c r="L709" s="16" t="s">
        <v>919</v>
      </c>
      <c r="M709" s="4" t="s">
        <v>563</v>
      </c>
      <c r="N709" s="2" t="s">
        <v>565</v>
      </c>
      <c r="O709" s="2" t="s">
        <v>569</v>
      </c>
      <c r="P709" s="2" t="s">
        <v>572</v>
      </c>
      <c r="Q709" s="1" t="s">
        <v>205</v>
      </c>
      <c r="R709" s="2" t="s">
        <v>585</v>
      </c>
      <c r="S709" s="8">
        <f>B709+1</f>
        <v>40869</v>
      </c>
    </row>
    <row r="710" spans="1:19" x14ac:dyDescent="0.15">
      <c r="A710" s="1">
        <v>56676</v>
      </c>
      <c r="B710" s="6">
        <f>DATE(2012,12,31)-67</f>
        <v>41207</v>
      </c>
      <c r="C710" s="2" t="s">
        <v>917</v>
      </c>
      <c r="D710" s="1">
        <v>39</v>
      </c>
      <c r="E710" s="1"/>
      <c r="F710" s="1">
        <v>0.08</v>
      </c>
      <c r="G710" s="2" t="s">
        <v>560</v>
      </c>
      <c r="H710" s="10">
        <v>-107.2</v>
      </c>
      <c r="I710" s="7">
        <v>5.28</v>
      </c>
      <c r="J710" s="7">
        <v>5.66</v>
      </c>
      <c r="K710" s="2" t="s">
        <v>785</v>
      </c>
      <c r="L710" s="16" t="s">
        <v>919</v>
      </c>
      <c r="M710" s="4" t="s">
        <v>563</v>
      </c>
      <c r="N710" s="2" t="s">
        <v>566</v>
      </c>
      <c r="O710" s="2" t="s">
        <v>568</v>
      </c>
      <c r="P710" s="2" t="s">
        <v>573</v>
      </c>
      <c r="Q710" s="1" t="s">
        <v>253</v>
      </c>
      <c r="R710" s="2" t="s">
        <v>585</v>
      </c>
      <c r="S710" s="8">
        <f>B710+1</f>
        <v>41208</v>
      </c>
    </row>
    <row r="711" spans="1:19" x14ac:dyDescent="0.15">
      <c r="A711" s="1">
        <v>56740</v>
      </c>
      <c r="B711" s="6">
        <f>DATE(2012,12,31)-76</f>
        <v>41198</v>
      </c>
      <c r="C711" s="2" t="s">
        <v>916</v>
      </c>
      <c r="D711" s="1">
        <v>6</v>
      </c>
      <c r="E711" s="1">
        <v>34.29</v>
      </c>
      <c r="F711" s="1">
        <v>0.05</v>
      </c>
      <c r="G711" s="2" t="s">
        <v>560</v>
      </c>
      <c r="H711" s="10">
        <v>-6.8194999999999997</v>
      </c>
      <c r="I711" s="7">
        <v>5.28</v>
      </c>
      <c r="J711" s="7">
        <v>2.99</v>
      </c>
      <c r="K711" s="2" t="s">
        <v>900</v>
      </c>
      <c r="L711" s="16" t="s">
        <v>919</v>
      </c>
      <c r="M711" s="4" t="s">
        <v>563</v>
      </c>
      <c r="N711" s="2" t="s">
        <v>566</v>
      </c>
      <c r="O711" s="2" t="s">
        <v>568</v>
      </c>
      <c r="P711" s="2" t="s">
        <v>88</v>
      </c>
      <c r="Q711" s="1" t="s">
        <v>17</v>
      </c>
      <c r="R711" s="2" t="s">
        <v>585</v>
      </c>
      <c r="S711" s="8">
        <f>B711+2</f>
        <v>41200</v>
      </c>
    </row>
    <row r="712" spans="1:19" x14ac:dyDescent="0.15">
      <c r="A712" s="1">
        <v>56740</v>
      </c>
      <c r="B712" s="6">
        <f>DATE(2012,12,31)-76</f>
        <v>41198</v>
      </c>
      <c r="C712" s="2" t="s">
        <v>916</v>
      </c>
      <c r="D712" s="1">
        <v>29</v>
      </c>
      <c r="E712" s="1">
        <v>23516.31</v>
      </c>
      <c r="F712" s="1">
        <v>0.09</v>
      </c>
      <c r="G712" s="2" t="s">
        <v>560</v>
      </c>
      <c r="H712" s="10">
        <v>1094.74</v>
      </c>
      <c r="I712" s="7">
        <v>832.81</v>
      </c>
      <c r="J712" s="7">
        <v>24.49</v>
      </c>
      <c r="K712" s="2" t="s">
        <v>900</v>
      </c>
      <c r="L712" s="16" t="s">
        <v>919</v>
      </c>
      <c r="M712" s="4" t="s">
        <v>563</v>
      </c>
      <c r="N712" s="2" t="s">
        <v>566</v>
      </c>
      <c r="O712" s="2" t="s">
        <v>568</v>
      </c>
      <c r="P712" s="2" t="s">
        <v>89</v>
      </c>
      <c r="Q712" s="1" t="s">
        <v>98</v>
      </c>
      <c r="R712" s="2" t="s">
        <v>589</v>
      </c>
      <c r="S712" s="8">
        <f>B712+4</f>
        <v>41202</v>
      </c>
    </row>
    <row r="713" spans="1:19" x14ac:dyDescent="0.15">
      <c r="A713" s="1">
        <v>56802</v>
      </c>
      <c r="B713" s="6">
        <f>DATE(2012,12,31)-216</f>
        <v>41058</v>
      </c>
      <c r="C713" s="2" t="s">
        <v>913</v>
      </c>
      <c r="D713" s="1">
        <v>50</v>
      </c>
      <c r="E713" s="1">
        <v>78.2</v>
      </c>
      <c r="F713" s="1">
        <v>0.09</v>
      </c>
      <c r="G713" s="2" t="s">
        <v>560</v>
      </c>
      <c r="H713" s="10">
        <v>-4.5599999999999996</v>
      </c>
      <c r="I713" s="7">
        <v>1.68</v>
      </c>
      <c r="J713" s="7">
        <v>1</v>
      </c>
      <c r="K713" s="2" t="s">
        <v>849</v>
      </c>
      <c r="L713" s="16" t="s">
        <v>919</v>
      </c>
      <c r="M713" s="4" t="s">
        <v>563</v>
      </c>
      <c r="N713" s="2" t="s">
        <v>564</v>
      </c>
      <c r="O713" s="2" t="s">
        <v>568</v>
      </c>
      <c r="P713" s="2" t="s">
        <v>571</v>
      </c>
      <c r="Q713" s="1" t="s">
        <v>370</v>
      </c>
      <c r="R713" s="2" t="s">
        <v>584</v>
      </c>
      <c r="S713" s="8">
        <f>B713+1</f>
        <v>41059</v>
      </c>
    </row>
    <row r="714" spans="1:19" x14ac:dyDescent="0.15">
      <c r="A714" s="1">
        <v>56868</v>
      </c>
      <c r="B714" s="6">
        <f>DATE(2012,12,31)-394</f>
        <v>40880</v>
      </c>
      <c r="C714" s="2" t="s">
        <v>916</v>
      </c>
      <c r="D714" s="1">
        <v>34</v>
      </c>
      <c r="E714" s="1">
        <v>1947.4265</v>
      </c>
      <c r="F714" s="1">
        <v>0.03</v>
      </c>
      <c r="G714" s="2" t="s">
        <v>560</v>
      </c>
      <c r="H714" s="10">
        <v>473.26499999999999</v>
      </c>
      <c r="I714" s="7">
        <v>65.989999999999995</v>
      </c>
      <c r="J714" s="7">
        <v>5.92</v>
      </c>
      <c r="K714" s="2" t="s">
        <v>825</v>
      </c>
      <c r="L714" s="16" t="s">
        <v>919</v>
      </c>
      <c r="M714" s="4" t="s">
        <v>563</v>
      </c>
      <c r="N714" s="2" t="s">
        <v>567</v>
      </c>
      <c r="O714" s="2" t="s">
        <v>569</v>
      </c>
      <c r="P714" s="2" t="s">
        <v>87</v>
      </c>
      <c r="Q714" s="1" t="s">
        <v>390</v>
      </c>
      <c r="R714" s="2" t="s">
        <v>585</v>
      </c>
      <c r="S714" s="8">
        <f>B714+7</f>
        <v>40887</v>
      </c>
    </row>
    <row r="715" spans="1:19" x14ac:dyDescent="0.15">
      <c r="A715" s="1">
        <v>56869</v>
      </c>
      <c r="B715" s="6">
        <f>DATE(2012,12,31)-892</f>
        <v>40382</v>
      </c>
      <c r="C715" s="2" t="s">
        <v>916</v>
      </c>
      <c r="D715" s="1">
        <v>10</v>
      </c>
      <c r="E715" s="1">
        <v>842.19</v>
      </c>
      <c r="F715" s="1">
        <v>0</v>
      </c>
      <c r="G715" s="2" t="s">
        <v>560</v>
      </c>
      <c r="H715" s="10">
        <v>157.44999999999999</v>
      </c>
      <c r="I715" s="7">
        <v>80.98</v>
      </c>
      <c r="J715" s="7">
        <v>4.5</v>
      </c>
      <c r="K715" s="2" t="s">
        <v>791</v>
      </c>
      <c r="L715" s="16" t="s">
        <v>919</v>
      </c>
      <c r="M715" s="4" t="s">
        <v>563</v>
      </c>
      <c r="N715" s="2" t="s">
        <v>566</v>
      </c>
      <c r="O715" s="2" t="s">
        <v>568</v>
      </c>
      <c r="P715" s="2" t="s">
        <v>576</v>
      </c>
      <c r="Q715" s="1" t="s">
        <v>417</v>
      </c>
      <c r="R715" s="2" t="s">
        <v>585</v>
      </c>
      <c r="S715" s="8">
        <f>B715+2</f>
        <v>40384</v>
      </c>
    </row>
    <row r="716" spans="1:19" x14ac:dyDescent="0.15">
      <c r="A716" s="1">
        <v>57190</v>
      </c>
      <c r="B716" s="6">
        <f>DATE(2012,12,31)-948</f>
        <v>40326</v>
      </c>
      <c r="C716" s="2" t="s">
        <v>914</v>
      </c>
      <c r="D716" s="1">
        <v>48</v>
      </c>
      <c r="E716" s="1">
        <v>2052.83</v>
      </c>
      <c r="F716" s="1">
        <v>0.02</v>
      </c>
      <c r="G716" s="2" t="s">
        <v>560</v>
      </c>
      <c r="H716" s="10">
        <v>395.85</v>
      </c>
      <c r="I716" s="7">
        <v>40.99</v>
      </c>
      <c r="J716" s="7">
        <v>8.9700000000000006</v>
      </c>
      <c r="K716" s="2" t="s">
        <v>761</v>
      </c>
      <c r="L716" s="16" t="s">
        <v>919</v>
      </c>
      <c r="M716" s="4" t="s">
        <v>563</v>
      </c>
      <c r="N716" s="2" t="s">
        <v>565</v>
      </c>
      <c r="O716" s="2" t="s">
        <v>569</v>
      </c>
      <c r="P716" s="2" t="s">
        <v>583</v>
      </c>
      <c r="Q716" s="1" t="s">
        <v>722</v>
      </c>
      <c r="R716" s="2" t="s">
        <v>585</v>
      </c>
      <c r="S716" s="8">
        <f>B716+0</f>
        <v>40326</v>
      </c>
    </row>
    <row r="717" spans="1:19" x14ac:dyDescent="0.15">
      <c r="A717" s="1">
        <v>57190</v>
      </c>
      <c r="B717" s="6">
        <f>DATE(2012,12,31)-948</f>
        <v>40326</v>
      </c>
      <c r="C717" s="2" t="s">
        <v>914</v>
      </c>
      <c r="D717" s="1">
        <v>36</v>
      </c>
      <c r="E717" s="1">
        <v>620.45000000000005</v>
      </c>
      <c r="F717" s="1">
        <v>0.09</v>
      </c>
      <c r="G717" s="2" t="s">
        <v>560</v>
      </c>
      <c r="H717" s="10">
        <v>171.94</v>
      </c>
      <c r="I717" s="7">
        <v>17.48</v>
      </c>
      <c r="J717" s="7">
        <v>1.99</v>
      </c>
      <c r="K717" s="2" t="s">
        <v>761</v>
      </c>
      <c r="L717" s="16" t="s">
        <v>919</v>
      </c>
      <c r="M717" s="4" t="s">
        <v>563</v>
      </c>
      <c r="N717" s="2" t="s">
        <v>565</v>
      </c>
      <c r="O717" s="2" t="s">
        <v>569</v>
      </c>
      <c r="P717" s="2" t="s">
        <v>572</v>
      </c>
      <c r="Q717" s="1" t="s">
        <v>177</v>
      </c>
      <c r="R717" s="2" t="s">
        <v>587</v>
      </c>
      <c r="S717" s="8">
        <f>B717+1</f>
        <v>40327</v>
      </c>
    </row>
    <row r="718" spans="1:19" x14ac:dyDescent="0.15">
      <c r="A718" s="1">
        <v>57248</v>
      </c>
      <c r="B718" s="6">
        <f>DATE(2012,12,31)-1173</f>
        <v>40101</v>
      </c>
      <c r="C718" s="2" t="s">
        <v>917</v>
      </c>
      <c r="D718" s="1">
        <v>34</v>
      </c>
      <c r="E718" s="1">
        <v>167.5</v>
      </c>
      <c r="F718" s="1">
        <v>0.04</v>
      </c>
      <c r="G718" s="2" t="s">
        <v>560</v>
      </c>
      <c r="H718" s="10">
        <v>-84.421499999999995</v>
      </c>
      <c r="I718" s="7">
        <v>4.9800000000000004</v>
      </c>
      <c r="J718" s="7">
        <v>4.95</v>
      </c>
      <c r="K718" s="2" t="s">
        <v>774</v>
      </c>
      <c r="L718" s="16" t="s">
        <v>919</v>
      </c>
      <c r="M718" s="4" t="s">
        <v>563</v>
      </c>
      <c r="N718" s="2" t="s">
        <v>567</v>
      </c>
      <c r="O718" s="2" t="s">
        <v>568</v>
      </c>
      <c r="P718" s="2" t="s">
        <v>88</v>
      </c>
      <c r="Q718" s="1" t="s">
        <v>285</v>
      </c>
      <c r="R718" s="2" t="s">
        <v>585</v>
      </c>
      <c r="S718" s="8">
        <f>B718+2</f>
        <v>40103</v>
      </c>
    </row>
    <row r="719" spans="1:19" x14ac:dyDescent="0.15">
      <c r="A719" s="1">
        <v>57318</v>
      </c>
      <c r="B719" s="6">
        <f>DATE(2012,12,31)-1086</f>
        <v>40188</v>
      </c>
      <c r="C719" s="2" t="s">
        <v>914</v>
      </c>
      <c r="D719" s="1">
        <v>33</v>
      </c>
      <c r="E719" s="1">
        <v>158.79</v>
      </c>
      <c r="F719" s="1">
        <v>0.02</v>
      </c>
      <c r="G719" s="2" t="s">
        <v>560</v>
      </c>
      <c r="H719" s="10">
        <v>74.14</v>
      </c>
      <c r="I719" s="7">
        <v>4.91</v>
      </c>
      <c r="J719" s="7">
        <v>0.5</v>
      </c>
      <c r="K719" s="2" t="s">
        <v>874</v>
      </c>
      <c r="L719" s="16" t="s">
        <v>919</v>
      </c>
      <c r="M719" s="4" t="s">
        <v>563</v>
      </c>
      <c r="N719" s="2" t="s">
        <v>565</v>
      </c>
      <c r="O719" s="2" t="s">
        <v>568</v>
      </c>
      <c r="P719" s="2" t="s">
        <v>582</v>
      </c>
      <c r="Q719" s="1" t="s">
        <v>139</v>
      </c>
      <c r="R719" s="2" t="s">
        <v>585</v>
      </c>
      <c r="S719" s="8">
        <f>B719+2</f>
        <v>40190</v>
      </c>
    </row>
    <row r="720" spans="1:19" x14ac:dyDescent="0.15">
      <c r="A720" s="1">
        <v>57318</v>
      </c>
      <c r="B720" s="6">
        <f>DATE(2012,12,31)-1086</f>
        <v>40188</v>
      </c>
      <c r="C720" s="2" t="s">
        <v>914</v>
      </c>
      <c r="D720" s="1">
        <v>12</v>
      </c>
      <c r="E720" s="1">
        <v>79.06</v>
      </c>
      <c r="F720" s="1">
        <v>0.1</v>
      </c>
      <c r="G720" s="2" t="s">
        <v>560</v>
      </c>
      <c r="H720" s="10">
        <v>-47</v>
      </c>
      <c r="I720" s="7">
        <v>6.68</v>
      </c>
      <c r="J720" s="7">
        <v>6.92</v>
      </c>
      <c r="K720" s="2" t="s">
        <v>874</v>
      </c>
      <c r="L720" s="16" t="s">
        <v>919</v>
      </c>
      <c r="M720" s="4" t="s">
        <v>563</v>
      </c>
      <c r="N720" s="2" t="s">
        <v>565</v>
      </c>
      <c r="O720" s="2" t="s">
        <v>568</v>
      </c>
      <c r="P720" s="2" t="s">
        <v>573</v>
      </c>
      <c r="Q720" s="1" t="s">
        <v>604</v>
      </c>
      <c r="R720" s="2" t="s">
        <v>585</v>
      </c>
      <c r="S720" s="8">
        <f>B720+2</f>
        <v>40190</v>
      </c>
    </row>
    <row r="721" spans="1:19" x14ac:dyDescent="0.15">
      <c r="A721" s="1">
        <v>57350</v>
      </c>
      <c r="B721" s="6">
        <f>DATE(2012,12,31)-586</f>
        <v>40688</v>
      </c>
      <c r="C721" s="2" t="s">
        <v>913</v>
      </c>
      <c r="D721" s="1">
        <v>33</v>
      </c>
      <c r="E721" s="1">
        <v>140.63</v>
      </c>
      <c r="F721" s="1">
        <v>0.09</v>
      </c>
      <c r="G721" s="2" t="s">
        <v>560</v>
      </c>
      <c r="H721" s="10">
        <v>-111.87</v>
      </c>
      <c r="I721" s="7">
        <v>4.28</v>
      </c>
      <c r="J721" s="7">
        <v>5.68</v>
      </c>
      <c r="K721" s="2" t="s">
        <v>839</v>
      </c>
      <c r="L721" s="16" t="s">
        <v>919</v>
      </c>
      <c r="M721" s="4" t="s">
        <v>563</v>
      </c>
      <c r="N721" s="2" t="s">
        <v>565</v>
      </c>
      <c r="O721" s="2" t="s">
        <v>568</v>
      </c>
      <c r="P721" s="2" t="s">
        <v>573</v>
      </c>
      <c r="Q721" s="1" t="s">
        <v>672</v>
      </c>
      <c r="R721" s="2" t="s">
        <v>585</v>
      </c>
      <c r="S721" s="8">
        <f>B721+1</f>
        <v>40689</v>
      </c>
    </row>
    <row r="722" spans="1:19" x14ac:dyDescent="0.15">
      <c r="A722" s="1">
        <v>57350</v>
      </c>
      <c r="B722" s="6">
        <f>DATE(2012,12,31)-586</f>
        <v>40688</v>
      </c>
      <c r="C722" s="2" t="s">
        <v>913</v>
      </c>
      <c r="D722" s="1">
        <v>50</v>
      </c>
      <c r="E722" s="1">
        <v>4872.6675000000005</v>
      </c>
      <c r="F722" s="1">
        <v>0.09</v>
      </c>
      <c r="G722" s="2" t="s">
        <v>560</v>
      </c>
      <c r="H722" s="10">
        <v>851.31</v>
      </c>
      <c r="I722" s="7">
        <v>125.99</v>
      </c>
      <c r="J722" s="7">
        <v>8.8000000000000007</v>
      </c>
      <c r="K722" s="2" t="s">
        <v>839</v>
      </c>
      <c r="L722" s="16" t="s">
        <v>919</v>
      </c>
      <c r="M722" s="4" t="s">
        <v>563</v>
      </c>
      <c r="N722" s="2" t="s">
        <v>565</v>
      </c>
      <c r="O722" s="2" t="s">
        <v>569</v>
      </c>
      <c r="P722" s="2" t="s">
        <v>87</v>
      </c>
      <c r="Q722" s="1" t="s">
        <v>238</v>
      </c>
      <c r="R722" s="2" t="s">
        <v>585</v>
      </c>
      <c r="S722" s="8">
        <f>B722+1</f>
        <v>40689</v>
      </c>
    </row>
    <row r="723" spans="1:19" x14ac:dyDescent="0.15">
      <c r="A723" s="1">
        <v>57381</v>
      </c>
      <c r="B723" s="6">
        <f>DATE(2012,12,31)-1242</f>
        <v>40032</v>
      </c>
      <c r="C723" s="2" t="s">
        <v>913</v>
      </c>
      <c r="D723" s="1">
        <v>13</v>
      </c>
      <c r="E723" s="1">
        <v>515.23</v>
      </c>
      <c r="F723" s="1">
        <v>0.1</v>
      </c>
      <c r="G723" s="2" t="s">
        <v>560</v>
      </c>
      <c r="H723" s="10">
        <v>171.4025</v>
      </c>
      <c r="I723" s="7">
        <v>41.94</v>
      </c>
      <c r="J723" s="7">
        <v>2.99</v>
      </c>
      <c r="K723" s="2" t="s">
        <v>814</v>
      </c>
      <c r="L723" s="16" t="s">
        <v>919</v>
      </c>
      <c r="M723" s="4" t="s">
        <v>563</v>
      </c>
      <c r="N723" s="2" t="s">
        <v>566</v>
      </c>
      <c r="O723" s="2" t="s">
        <v>568</v>
      </c>
      <c r="P723" s="2" t="s">
        <v>88</v>
      </c>
      <c r="Q723" s="1" t="s">
        <v>719</v>
      </c>
      <c r="R723" s="2" t="s">
        <v>585</v>
      </c>
      <c r="S723" s="8">
        <f>B723+1</f>
        <v>40033</v>
      </c>
    </row>
    <row r="724" spans="1:19" x14ac:dyDescent="0.15">
      <c r="A724" s="1">
        <v>57381</v>
      </c>
      <c r="B724" s="6">
        <f>DATE(2012,12,31)-1242</f>
        <v>40032</v>
      </c>
      <c r="C724" s="2" t="s">
        <v>913</v>
      </c>
      <c r="D724" s="1">
        <v>22</v>
      </c>
      <c r="E724" s="1">
        <v>41.65</v>
      </c>
      <c r="F724" s="1">
        <v>0.06</v>
      </c>
      <c r="G724" s="2" t="s">
        <v>560</v>
      </c>
      <c r="H724" s="10">
        <v>-13.86</v>
      </c>
      <c r="I724" s="7">
        <v>1.98</v>
      </c>
      <c r="J724" s="7">
        <v>0.7</v>
      </c>
      <c r="K724" s="2" t="s">
        <v>814</v>
      </c>
      <c r="L724" s="16" t="s">
        <v>919</v>
      </c>
      <c r="M724" s="4" t="s">
        <v>563</v>
      </c>
      <c r="N724" s="2" t="s">
        <v>566</v>
      </c>
      <c r="O724" s="2" t="s">
        <v>568</v>
      </c>
      <c r="P724" s="2" t="s">
        <v>580</v>
      </c>
      <c r="Q724" s="1" t="s">
        <v>520</v>
      </c>
      <c r="R724" s="2" t="s">
        <v>584</v>
      </c>
      <c r="S724" s="8">
        <f>B724+0</f>
        <v>40032</v>
      </c>
    </row>
    <row r="725" spans="1:19" x14ac:dyDescent="0.15">
      <c r="A725" s="1">
        <v>57444</v>
      </c>
      <c r="B725" s="6">
        <f>DATE(2012,12,31)-597</f>
        <v>40677</v>
      </c>
      <c r="C725" s="2" t="s">
        <v>917</v>
      </c>
      <c r="D725" s="1">
        <v>24</v>
      </c>
      <c r="E725" s="1">
        <v>178.92</v>
      </c>
      <c r="F725" s="1">
        <v>0.09</v>
      </c>
      <c r="G725" s="2" t="s">
        <v>560</v>
      </c>
      <c r="H725" s="10">
        <v>-56.108499999999999</v>
      </c>
      <c r="I725" s="7">
        <v>7.68</v>
      </c>
      <c r="J725" s="7">
        <v>6.16</v>
      </c>
      <c r="K725" s="2" t="s">
        <v>854</v>
      </c>
      <c r="L725" s="16" t="s">
        <v>919</v>
      </c>
      <c r="M725" s="4" t="s">
        <v>563</v>
      </c>
      <c r="N725" s="2" t="s">
        <v>566</v>
      </c>
      <c r="O725" s="2" t="s">
        <v>568</v>
      </c>
      <c r="P725" s="2" t="s">
        <v>88</v>
      </c>
      <c r="Q725" s="1" t="s">
        <v>690</v>
      </c>
      <c r="R725" s="2" t="s">
        <v>585</v>
      </c>
      <c r="S725" s="8">
        <f>B725+1</f>
        <v>40678</v>
      </c>
    </row>
    <row r="726" spans="1:19" x14ac:dyDescent="0.15">
      <c r="A726" s="1">
        <v>57476</v>
      </c>
      <c r="B726" s="6">
        <f>DATE(2012,12,31)-1386</f>
        <v>39888</v>
      </c>
      <c r="C726" s="2" t="s">
        <v>913</v>
      </c>
      <c r="D726" s="1">
        <v>20</v>
      </c>
      <c r="E726" s="1">
        <v>1351.43</v>
      </c>
      <c r="F726" s="1">
        <v>0.08</v>
      </c>
      <c r="G726" s="2" t="s">
        <v>562</v>
      </c>
      <c r="H726" s="10">
        <v>-550.42999999999995</v>
      </c>
      <c r="I726" s="7">
        <v>68.81</v>
      </c>
      <c r="J726" s="7">
        <v>60</v>
      </c>
      <c r="K726" s="2" t="s">
        <v>828</v>
      </c>
      <c r="L726" s="16" t="s">
        <v>919</v>
      </c>
      <c r="M726" s="4" t="s">
        <v>563</v>
      </c>
      <c r="N726" s="2" t="s">
        <v>565</v>
      </c>
      <c r="O726" s="2" t="s">
        <v>568</v>
      </c>
      <c r="P726" s="2" t="s">
        <v>576</v>
      </c>
      <c r="Q726" s="1" t="s">
        <v>462</v>
      </c>
      <c r="R726" s="2" t="s">
        <v>586</v>
      </c>
      <c r="S726" s="8">
        <f>B726+1</f>
        <v>39889</v>
      </c>
    </row>
    <row r="727" spans="1:19" x14ac:dyDescent="0.15">
      <c r="A727" s="1">
        <v>57476</v>
      </c>
      <c r="B727" s="6">
        <f>DATE(2012,12,31)-1386</f>
        <v>39888</v>
      </c>
      <c r="C727" s="2" t="s">
        <v>913</v>
      </c>
      <c r="D727" s="1">
        <v>17</v>
      </c>
      <c r="E727" s="1">
        <v>357.91</v>
      </c>
      <c r="F727" s="1">
        <v>0.04</v>
      </c>
      <c r="G727" s="2" t="s">
        <v>560</v>
      </c>
      <c r="H727" s="10">
        <v>-52.12</v>
      </c>
      <c r="I727" s="7">
        <v>21.38</v>
      </c>
      <c r="J727" s="7">
        <v>8.99</v>
      </c>
      <c r="K727" s="2" t="s">
        <v>828</v>
      </c>
      <c r="L727" s="16" t="s">
        <v>919</v>
      </c>
      <c r="M727" s="4" t="s">
        <v>563</v>
      </c>
      <c r="N727" s="2" t="s">
        <v>565</v>
      </c>
      <c r="O727" s="2" t="s">
        <v>568</v>
      </c>
      <c r="P727" s="2" t="s">
        <v>571</v>
      </c>
      <c r="Q727" s="1" t="s">
        <v>127</v>
      </c>
      <c r="R727" s="2" t="s">
        <v>587</v>
      </c>
      <c r="S727" s="8">
        <f>B727+2</f>
        <v>39890</v>
      </c>
    </row>
    <row r="728" spans="1:19" x14ac:dyDescent="0.15">
      <c r="A728" s="1">
        <v>57633</v>
      </c>
      <c r="B728" s="6">
        <f>DATE(2012,12,31)-694</f>
        <v>40580</v>
      </c>
      <c r="C728" s="2" t="s">
        <v>913</v>
      </c>
      <c r="D728" s="1">
        <v>12</v>
      </c>
      <c r="E728" s="1">
        <v>351.12</v>
      </c>
      <c r="F728" s="1">
        <v>0.09</v>
      </c>
      <c r="G728" s="2" t="s">
        <v>561</v>
      </c>
      <c r="H728" s="10">
        <v>202.63</v>
      </c>
      <c r="I728" s="7">
        <v>30.93</v>
      </c>
      <c r="J728" s="7">
        <v>3.92</v>
      </c>
      <c r="K728" s="2" t="s">
        <v>617</v>
      </c>
      <c r="L728" s="16" t="s">
        <v>919</v>
      </c>
      <c r="M728" s="4" t="s">
        <v>563</v>
      </c>
      <c r="N728" s="2" t="s">
        <v>567</v>
      </c>
      <c r="O728" s="2" t="s">
        <v>570</v>
      </c>
      <c r="P728" s="2" t="s">
        <v>579</v>
      </c>
      <c r="Q728" s="1" t="s">
        <v>181</v>
      </c>
      <c r="R728" s="2" t="s">
        <v>587</v>
      </c>
      <c r="S728" s="8">
        <f>B728+1</f>
        <v>40581</v>
      </c>
    </row>
    <row r="729" spans="1:19" x14ac:dyDescent="0.15">
      <c r="A729" s="1">
        <v>57669</v>
      </c>
      <c r="B729" s="6">
        <f>DATE(2012,12,31)-876</f>
        <v>40398</v>
      </c>
      <c r="C729" s="2" t="s">
        <v>917</v>
      </c>
      <c r="D729" s="1">
        <v>41</v>
      </c>
      <c r="E729" s="1">
        <v>1803.12</v>
      </c>
      <c r="F729" s="1">
        <v>0</v>
      </c>
      <c r="G729" s="2" t="s">
        <v>560</v>
      </c>
      <c r="H729" s="10">
        <v>544.92999999999995</v>
      </c>
      <c r="I729" s="7">
        <v>40.98</v>
      </c>
      <c r="J729" s="7">
        <v>5.33</v>
      </c>
      <c r="K729" s="2" t="s">
        <v>818</v>
      </c>
      <c r="L729" s="16" t="s">
        <v>919</v>
      </c>
      <c r="M729" s="4" t="s">
        <v>563</v>
      </c>
      <c r="N729" s="2" t="s">
        <v>566</v>
      </c>
      <c r="O729" s="2" t="s">
        <v>568</v>
      </c>
      <c r="P729" s="2" t="s">
        <v>576</v>
      </c>
      <c r="Q729" s="1" t="s">
        <v>320</v>
      </c>
      <c r="R729" s="2" t="s">
        <v>585</v>
      </c>
      <c r="S729" s="8">
        <f>B729+1</f>
        <v>40399</v>
      </c>
    </row>
    <row r="730" spans="1:19" x14ac:dyDescent="0.15">
      <c r="A730" s="1">
        <v>57734</v>
      </c>
      <c r="B730" s="6">
        <f>DATE(2012,12,31)-1202</f>
        <v>40072</v>
      </c>
      <c r="C730" s="2" t="s">
        <v>913</v>
      </c>
      <c r="D730" s="1">
        <v>26</v>
      </c>
      <c r="E730" s="1">
        <v>110.14</v>
      </c>
      <c r="F730" s="1">
        <v>0.05</v>
      </c>
      <c r="G730" s="2" t="s">
        <v>560</v>
      </c>
      <c r="H730" s="10">
        <v>-89.216999999999999</v>
      </c>
      <c r="I730" s="7">
        <v>4.24</v>
      </c>
      <c r="J730" s="7">
        <v>5.41</v>
      </c>
      <c r="K730" s="2" t="s">
        <v>852</v>
      </c>
      <c r="L730" s="16" t="s">
        <v>919</v>
      </c>
      <c r="M730" s="4" t="s">
        <v>563</v>
      </c>
      <c r="N730" s="2" t="s">
        <v>565</v>
      </c>
      <c r="O730" s="2" t="s">
        <v>568</v>
      </c>
      <c r="P730" s="2" t="s">
        <v>88</v>
      </c>
      <c r="Q730" s="1" t="s">
        <v>491</v>
      </c>
      <c r="R730" s="2" t="s">
        <v>585</v>
      </c>
      <c r="S730" s="8">
        <f>B730+2</f>
        <v>40074</v>
      </c>
    </row>
    <row r="731" spans="1:19" x14ac:dyDescent="0.15">
      <c r="A731" s="1">
        <v>57734</v>
      </c>
      <c r="B731" s="6">
        <f>DATE(2012,12,31)-1202</f>
        <v>40072</v>
      </c>
      <c r="C731" s="2" t="s">
        <v>913</v>
      </c>
      <c r="D731" s="1">
        <v>27</v>
      </c>
      <c r="E731" s="1">
        <v>453.89</v>
      </c>
      <c r="F731" s="1">
        <v>0.1</v>
      </c>
      <c r="G731" s="2" t="s">
        <v>560</v>
      </c>
      <c r="H731" s="10">
        <v>-75.06</v>
      </c>
      <c r="I731" s="7">
        <v>16.98</v>
      </c>
      <c r="J731" s="7">
        <v>12.39</v>
      </c>
      <c r="K731" s="2" t="s">
        <v>852</v>
      </c>
      <c r="L731" s="16" t="s">
        <v>919</v>
      </c>
      <c r="M731" s="4" t="s">
        <v>563</v>
      </c>
      <c r="N731" s="2" t="s">
        <v>565</v>
      </c>
      <c r="O731" s="2" t="s">
        <v>568</v>
      </c>
      <c r="P731" s="2" t="s">
        <v>575</v>
      </c>
      <c r="Q731" s="1" t="s">
        <v>102</v>
      </c>
      <c r="R731" s="2" t="s">
        <v>585</v>
      </c>
      <c r="S731" s="8">
        <f>B731+2</f>
        <v>40074</v>
      </c>
    </row>
    <row r="732" spans="1:19" x14ac:dyDescent="0.15">
      <c r="A732" s="1">
        <v>57760</v>
      </c>
      <c r="B732" s="6">
        <f>DATE(2012,12,31)-538</f>
        <v>40736</v>
      </c>
      <c r="C732" s="2" t="s">
        <v>915</v>
      </c>
      <c r="D732" s="1">
        <v>38</v>
      </c>
      <c r="E732" s="1">
        <v>275.11</v>
      </c>
      <c r="F732" s="1">
        <v>0.06</v>
      </c>
      <c r="G732" s="2" t="s">
        <v>560</v>
      </c>
      <c r="H732" s="10">
        <v>17.149999999999999</v>
      </c>
      <c r="I732" s="7">
        <v>7.59</v>
      </c>
      <c r="J732" s="7">
        <v>4</v>
      </c>
      <c r="K732" s="2" t="s">
        <v>841</v>
      </c>
      <c r="L732" s="16" t="s">
        <v>919</v>
      </c>
      <c r="M732" s="4" t="s">
        <v>563</v>
      </c>
      <c r="N732" s="2" t="s">
        <v>567</v>
      </c>
      <c r="O732" s="2" t="s">
        <v>570</v>
      </c>
      <c r="P732" s="2" t="s">
        <v>579</v>
      </c>
      <c r="Q732" s="1" t="s">
        <v>728</v>
      </c>
      <c r="R732" s="2" t="s">
        <v>584</v>
      </c>
      <c r="S732" s="8">
        <f>B732+2</f>
        <v>40738</v>
      </c>
    </row>
    <row r="733" spans="1:19" x14ac:dyDescent="0.15">
      <c r="A733" s="1">
        <v>57760</v>
      </c>
      <c r="B733" s="6">
        <f>DATE(2012,12,31)-538</f>
        <v>40736</v>
      </c>
      <c r="C733" s="2" t="s">
        <v>915</v>
      </c>
      <c r="D733" s="1">
        <v>34</v>
      </c>
      <c r="E733" s="1">
        <v>102.34</v>
      </c>
      <c r="F733" s="1">
        <v>0.01</v>
      </c>
      <c r="G733" s="2" t="s">
        <v>560</v>
      </c>
      <c r="H733" s="10">
        <v>-30.39</v>
      </c>
      <c r="I733" s="7">
        <v>2.98</v>
      </c>
      <c r="J733" s="7">
        <v>2.0299999999999998</v>
      </c>
      <c r="K733" s="2" t="s">
        <v>841</v>
      </c>
      <c r="L733" s="16" t="s">
        <v>919</v>
      </c>
      <c r="M733" s="4" t="s">
        <v>563</v>
      </c>
      <c r="N733" s="2" t="s">
        <v>567</v>
      </c>
      <c r="O733" s="2" t="s">
        <v>568</v>
      </c>
      <c r="P733" s="2" t="s">
        <v>571</v>
      </c>
      <c r="Q733" s="1" t="s">
        <v>133</v>
      </c>
      <c r="R733" s="2" t="s">
        <v>584</v>
      </c>
      <c r="S733" s="8">
        <f>B733+2</f>
        <v>40738</v>
      </c>
    </row>
    <row r="734" spans="1:19" x14ac:dyDescent="0.15">
      <c r="A734" s="1">
        <v>57891</v>
      </c>
      <c r="B734" s="6">
        <f>DATE(2012,12,31)-745</f>
        <v>40529</v>
      </c>
      <c r="C734" s="2" t="s">
        <v>914</v>
      </c>
      <c r="D734" s="1">
        <v>17</v>
      </c>
      <c r="E734" s="1">
        <v>934.94050000000004</v>
      </c>
      <c r="F734" s="1">
        <v>0.08</v>
      </c>
      <c r="G734" s="2" t="s">
        <v>560</v>
      </c>
      <c r="H734" s="10">
        <v>47.096999999999994</v>
      </c>
      <c r="I734" s="7">
        <v>65.989999999999995</v>
      </c>
      <c r="J734" s="7">
        <v>5.92</v>
      </c>
      <c r="K734" s="2" t="s">
        <v>831</v>
      </c>
      <c r="L734" s="16" t="s">
        <v>919</v>
      </c>
      <c r="M734" s="4" t="s">
        <v>563</v>
      </c>
      <c r="N734" s="2" t="s">
        <v>564</v>
      </c>
      <c r="O734" s="2" t="s">
        <v>569</v>
      </c>
      <c r="P734" s="2" t="s">
        <v>87</v>
      </c>
      <c r="Q734" s="1" t="s">
        <v>390</v>
      </c>
      <c r="R734" s="2" t="s">
        <v>585</v>
      </c>
      <c r="S734" s="8">
        <f>B734+0</f>
        <v>40529</v>
      </c>
    </row>
    <row r="735" spans="1:19" x14ac:dyDescent="0.15">
      <c r="A735" s="1">
        <v>58084</v>
      </c>
      <c r="B735" s="6">
        <f>DATE(2012,12,31)-134</f>
        <v>41140</v>
      </c>
      <c r="C735" s="2" t="s">
        <v>914</v>
      </c>
      <c r="D735" s="1">
        <v>3</v>
      </c>
      <c r="E735" s="1">
        <v>21.55</v>
      </c>
      <c r="F735" s="1">
        <v>0.09</v>
      </c>
      <c r="G735" s="2" t="s">
        <v>560</v>
      </c>
      <c r="H735" s="10">
        <v>-2.87</v>
      </c>
      <c r="I735" s="7">
        <v>7.31</v>
      </c>
      <c r="J735" s="7">
        <v>0.49</v>
      </c>
      <c r="K735" s="2" t="s">
        <v>779</v>
      </c>
      <c r="L735" s="16" t="s">
        <v>919</v>
      </c>
      <c r="M735" s="4" t="s">
        <v>563</v>
      </c>
      <c r="N735" s="2" t="s">
        <v>565</v>
      </c>
      <c r="O735" s="2" t="s">
        <v>568</v>
      </c>
      <c r="P735" s="2" t="s">
        <v>582</v>
      </c>
      <c r="Q735" s="1" t="s">
        <v>29</v>
      </c>
      <c r="R735" s="2" t="s">
        <v>585</v>
      </c>
      <c r="S735" s="8">
        <f>B735+0</f>
        <v>41140</v>
      </c>
    </row>
    <row r="736" spans="1:19" x14ac:dyDescent="0.15">
      <c r="A736" s="1">
        <v>58084</v>
      </c>
      <c r="B736" s="6">
        <f>DATE(2012,12,31)-134</f>
        <v>41140</v>
      </c>
      <c r="C736" s="2" t="s">
        <v>914</v>
      </c>
      <c r="D736" s="1">
        <v>36</v>
      </c>
      <c r="E736" s="1">
        <v>266.16000000000003</v>
      </c>
      <c r="F736" s="1">
        <v>0.03</v>
      </c>
      <c r="G736" s="2" t="s">
        <v>560</v>
      </c>
      <c r="H736" s="10">
        <v>90.91</v>
      </c>
      <c r="I736" s="7">
        <v>7.28</v>
      </c>
      <c r="J736" s="7">
        <v>1.77</v>
      </c>
      <c r="K736" s="2" t="s">
        <v>779</v>
      </c>
      <c r="L736" s="16" t="s">
        <v>919</v>
      </c>
      <c r="M736" s="4" t="s">
        <v>563</v>
      </c>
      <c r="N736" s="2" t="s">
        <v>565</v>
      </c>
      <c r="O736" s="2" t="s">
        <v>568</v>
      </c>
      <c r="P736" s="2" t="s">
        <v>573</v>
      </c>
      <c r="Q736" s="1" t="s">
        <v>266</v>
      </c>
      <c r="R736" s="2" t="s">
        <v>584</v>
      </c>
      <c r="S736" s="8">
        <f>B736+2</f>
        <v>41142</v>
      </c>
    </row>
    <row r="737" spans="1:19" x14ac:dyDescent="0.15">
      <c r="A737" s="1">
        <v>58179</v>
      </c>
      <c r="B737" s="6">
        <f>DATE(2012,12,31)-483</f>
        <v>40791</v>
      </c>
      <c r="C737" s="2" t="s">
        <v>914</v>
      </c>
      <c r="D737" s="1">
        <v>3</v>
      </c>
      <c r="E737" s="1">
        <v>39.49</v>
      </c>
      <c r="F737" s="1">
        <v>0.1</v>
      </c>
      <c r="G737" s="2" t="s">
        <v>560</v>
      </c>
      <c r="H737" s="10">
        <v>-12.99</v>
      </c>
      <c r="I737" s="7">
        <v>11.58</v>
      </c>
      <c r="J737" s="7">
        <v>5.72</v>
      </c>
      <c r="K737" s="2" t="s">
        <v>891</v>
      </c>
      <c r="L737" s="16" t="s">
        <v>919</v>
      </c>
      <c r="M737" s="4" t="s">
        <v>563</v>
      </c>
      <c r="N737" s="2" t="s">
        <v>565</v>
      </c>
      <c r="O737" s="2" t="s">
        <v>568</v>
      </c>
      <c r="P737" s="2" t="s">
        <v>575</v>
      </c>
      <c r="Q737" s="1" t="s">
        <v>57</v>
      </c>
      <c r="R737" s="2" t="s">
        <v>585</v>
      </c>
      <c r="S737" s="8">
        <f>B737+1</f>
        <v>40792</v>
      </c>
    </row>
    <row r="738" spans="1:19" x14ac:dyDescent="0.15">
      <c r="A738" s="1">
        <v>58279</v>
      </c>
      <c r="B738" s="6">
        <f>DATE(2012,12,31)-1360</f>
        <v>39914</v>
      </c>
      <c r="C738" s="2" t="s">
        <v>914</v>
      </c>
      <c r="D738" s="1">
        <v>44</v>
      </c>
      <c r="E738" s="1">
        <v>1317.34</v>
      </c>
      <c r="F738" s="1">
        <v>0.03</v>
      </c>
      <c r="G738" s="2" t="s">
        <v>560</v>
      </c>
      <c r="H738" s="10">
        <v>555.93399999999997</v>
      </c>
      <c r="I738" s="7">
        <v>30.56</v>
      </c>
      <c r="J738" s="7">
        <v>2.99</v>
      </c>
      <c r="K738" s="2" t="s">
        <v>905</v>
      </c>
      <c r="L738" s="16" t="s">
        <v>919</v>
      </c>
      <c r="M738" s="4" t="s">
        <v>563</v>
      </c>
      <c r="N738" s="2" t="s">
        <v>566</v>
      </c>
      <c r="O738" s="2" t="s">
        <v>568</v>
      </c>
      <c r="P738" s="2" t="s">
        <v>88</v>
      </c>
      <c r="Q738" s="1" t="s">
        <v>533</v>
      </c>
      <c r="R738" s="2" t="s">
        <v>585</v>
      </c>
      <c r="S738" s="8">
        <f>B738+0</f>
        <v>39914</v>
      </c>
    </row>
    <row r="739" spans="1:19" x14ac:dyDescent="0.15">
      <c r="A739" s="1">
        <v>58369</v>
      </c>
      <c r="B739" s="6">
        <f>DATE(2012,12,31)-123</f>
        <v>41151</v>
      </c>
      <c r="C739" s="2" t="s">
        <v>913</v>
      </c>
      <c r="D739" s="1">
        <v>46</v>
      </c>
      <c r="E739" s="1">
        <v>320.57</v>
      </c>
      <c r="F739" s="1">
        <v>0.1</v>
      </c>
      <c r="G739" s="2" t="s">
        <v>560</v>
      </c>
      <c r="H739" s="10">
        <v>-114.19499999999999</v>
      </c>
      <c r="I739" s="7">
        <v>7.1</v>
      </c>
      <c r="J739" s="7">
        <v>6.05</v>
      </c>
      <c r="K739" s="2" t="s">
        <v>778</v>
      </c>
      <c r="L739" s="16" t="s">
        <v>919</v>
      </c>
      <c r="M739" s="4" t="s">
        <v>563</v>
      </c>
      <c r="N739" s="2" t="s">
        <v>564</v>
      </c>
      <c r="O739" s="2" t="s">
        <v>568</v>
      </c>
      <c r="P739" s="2" t="s">
        <v>88</v>
      </c>
      <c r="Q739" s="1" t="s">
        <v>446</v>
      </c>
      <c r="R739" s="2" t="s">
        <v>585</v>
      </c>
      <c r="S739" s="8">
        <f>B739+1</f>
        <v>41152</v>
      </c>
    </row>
    <row r="740" spans="1:19" x14ac:dyDescent="0.15">
      <c r="A740" s="1">
        <v>58369</v>
      </c>
      <c r="B740" s="6">
        <f>DATE(2012,12,31)-123</f>
        <v>41151</v>
      </c>
      <c r="C740" s="2" t="s">
        <v>913</v>
      </c>
      <c r="D740" s="1">
        <v>16</v>
      </c>
      <c r="E740" s="1">
        <v>2013.8</v>
      </c>
      <c r="F740" s="1">
        <v>0.01</v>
      </c>
      <c r="G740" s="2" t="s">
        <v>562</v>
      </c>
      <c r="H740" s="10">
        <v>-98.431799999999996</v>
      </c>
      <c r="I740" s="7">
        <v>119.99</v>
      </c>
      <c r="J740" s="7">
        <v>56.14</v>
      </c>
      <c r="K740" s="2" t="s">
        <v>778</v>
      </c>
      <c r="L740" s="16" t="s">
        <v>919</v>
      </c>
      <c r="M740" s="4" t="s">
        <v>563</v>
      </c>
      <c r="N740" s="2" t="s">
        <v>564</v>
      </c>
      <c r="O740" s="2" t="s">
        <v>569</v>
      </c>
      <c r="P740" s="2" t="s">
        <v>583</v>
      </c>
      <c r="Q740" s="1" t="s">
        <v>503</v>
      </c>
      <c r="R740" s="2" t="s">
        <v>588</v>
      </c>
      <c r="S740" s="8">
        <f>B740+0</f>
        <v>41151</v>
      </c>
    </row>
    <row r="741" spans="1:19" x14ac:dyDescent="0.15">
      <c r="A741" s="1">
        <v>58371</v>
      </c>
      <c r="B741" s="6">
        <f>DATE(2012,12,31)-965</f>
        <v>40309</v>
      </c>
      <c r="C741" s="2" t="s">
        <v>914</v>
      </c>
      <c r="D741" s="1">
        <v>5</v>
      </c>
      <c r="E741" s="1">
        <v>2168.0500000000002</v>
      </c>
      <c r="F741" s="1">
        <v>0</v>
      </c>
      <c r="G741" s="2" t="s">
        <v>560</v>
      </c>
      <c r="H741" s="10">
        <v>416.01549999999997</v>
      </c>
      <c r="I741" s="7">
        <v>420.98</v>
      </c>
      <c r="J741" s="7">
        <v>19.989999999999998</v>
      </c>
      <c r="K741" s="2" t="s">
        <v>854</v>
      </c>
      <c r="L741" s="16" t="s">
        <v>919</v>
      </c>
      <c r="M741" s="4" t="s">
        <v>563</v>
      </c>
      <c r="N741" s="2" t="s">
        <v>566</v>
      </c>
      <c r="O741" s="2" t="s">
        <v>568</v>
      </c>
      <c r="P741" s="2" t="s">
        <v>88</v>
      </c>
      <c r="Q741" s="1" t="s">
        <v>5</v>
      </c>
      <c r="R741" s="2" t="s">
        <v>585</v>
      </c>
      <c r="S741" s="8">
        <f>B741+2</f>
        <v>40311</v>
      </c>
    </row>
    <row r="742" spans="1:19" x14ac:dyDescent="0.15">
      <c r="A742" s="1">
        <v>58371</v>
      </c>
      <c r="B742" s="6">
        <f>DATE(2012,12,31)-965</f>
        <v>40309</v>
      </c>
      <c r="C742" s="2" t="s">
        <v>914</v>
      </c>
      <c r="D742" s="1">
        <v>44</v>
      </c>
      <c r="E742" s="1">
        <v>303.07</v>
      </c>
      <c r="F742" s="1">
        <v>0.02</v>
      </c>
      <c r="G742" s="2" t="s">
        <v>560</v>
      </c>
      <c r="H742" s="10">
        <v>-238.45</v>
      </c>
      <c r="I742" s="7">
        <v>6.48</v>
      </c>
      <c r="J742" s="7">
        <v>9.68</v>
      </c>
      <c r="K742" s="2" t="s">
        <v>854</v>
      </c>
      <c r="L742" s="16" t="s">
        <v>919</v>
      </c>
      <c r="M742" s="4" t="s">
        <v>563</v>
      </c>
      <c r="N742" s="2" t="s">
        <v>566</v>
      </c>
      <c r="O742" s="2" t="s">
        <v>568</v>
      </c>
      <c r="P742" s="2" t="s">
        <v>573</v>
      </c>
      <c r="Q742" s="1" t="s">
        <v>698</v>
      </c>
      <c r="R742" s="2" t="s">
        <v>585</v>
      </c>
      <c r="S742" s="8">
        <f>B742+1</f>
        <v>40310</v>
      </c>
    </row>
    <row r="743" spans="1:19" x14ac:dyDescent="0.15">
      <c r="A743" s="1">
        <v>58371</v>
      </c>
      <c r="B743" s="6">
        <f>DATE(2012,12,31)-965</f>
        <v>40309</v>
      </c>
      <c r="C743" s="2" t="s">
        <v>914</v>
      </c>
      <c r="D743" s="1">
        <v>48</v>
      </c>
      <c r="E743" s="1">
        <v>1661.8</v>
      </c>
      <c r="F743" s="1">
        <v>7.0000000000000007E-2</v>
      </c>
      <c r="G743" s="2" t="s">
        <v>560</v>
      </c>
      <c r="H743" s="10">
        <v>202.68</v>
      </c>
      <c r="I743" s="7">
        <v>36.549999999999997</v>
      </c>
      <c r="J743" s="7">
        <v>13.89</v>
      </c>
      <c r="K743" s="2" t="s">
        <v>854</v>
      </c>
      <c r="L743" s="16" t="s">
        <v>919</v>
      </c>
      <c r="M743" s="4" t="s">
        <v>563</v>
      </c>
      <c r="N743" s="2" t="s">
        <v>566</v>
      </c>
      <c r="O743" s="2" t="s">
        <v>568</v>
      </c>
      <c r="P743" s="2" t="s">
        <v>571</v>
      </c>
      <c r="Q743" s="1" t="s">
        <v>624</v>
      </c>
      <c r="R743" s="2" t="s">
        <v>584</v>
      </c>
      <c r="S743" s="8">
        <f>B743+2</f>
        <v>40311</v>
      </c>
    </row>
    <row r="744" spans="1:19" x14ac:dyDescent="0.15">
      <c r="A744" s="1">
        <v>58433</v>
      </c>
      <c r="B744" s="6">
        <f>DATE(2012,12,31)-549</f>
        <v>40725</v>
      </c>
      <c r="C744" s="2" t="s">
        <v>913</v>
      </c>
      <c r="D744" s="1">
        <v>11</v>
      </c>
      <c r="E744" s="1">
        <v>2020.58</v>
      </c>
      <c r="F744" s="1">
        <v>0.01</v>
      </c>
      <c r="G744" s="2" t="s">
        <v>562</v>
      </c>
      <c r="H744" s="10">
        <v>-45.02</v>
      </c>
      <c r="I744" s="7">
        <v>180.98</v>
      </c>
      <c r="J744" s="7">
        <v>30</v>
      </c>
      <c r="K744" s="2" t="s">
        <v>830</v>
      </c>
      <c r="L744" s="16" t="s">
        <v>919</v>
      </c>
      <c r="M744" s="4" t="s">
        <v>563</v>
      </c>
      <c r="N744" s="2" t="s">
        <v>564</v>
      </c>
      <c r="O744" s="2" t="s">
        <v>570</v>
      </c>
      <c r="P744" s="2" t="s">
        <v>574</v>
      </c>
      <c r="Q744" s="1" t="s">
        <v>303</v>
      </c>
      <c r="R744" s="2" t="s">
        <v>586</v>
      </c>
      <c r="S744" s="8">
        <f>B744+1</f>
        <v>40726</v>
      </c>
    </row>
    <row r="745" spans="1:19" x14ac:dyDescent="0.15">
      <c r="A745" s="1">
        <v>58433</v>
      </c>
      <c r="B745" s="6">
        <f>DATE(2012,12,31)-549</f>
        <v>40725</v>
      </c>
      <c r="C745" s="2" t="s">
        <v>913</v>
      </c>
      <c r="D745" s="1">
        <v>30</v>
      </c>
      <c r="E745" s="1">
        <v>1533.46</v>
      </c>
      <c r="F745" s="1">
        <v>0</v>
      </c>
      <c r="G745" s="2" t="s">
        <v>560</v>
      </c>
      <c r="H745" s="10">
        <v>730.44</v>
      </c>
      <c r="I745" s="7">
        <v>48.04</v>
      </c>
      <c r="J745" s="7">
        <v>5.79</v>
      </c>
      <c r="K745" s="2" t="s">
        <v>830</v>
      </c>
      <c r="L745" s="16" t="s">
        <v>919</v>
      </c>
      <c r="M745" s="4" t="s">
        <v>563</v>
      </c>
      <c r="N745" s="2" t="s">
        <v>564</v>
      </c>
      <c r="O745" s="2" t="s">
        <v>568</v>
      </c>
      <c r="P745" s="2" t="s">
        <v>573</v>
      </c>
      <c r="Q745" s="1" t="s">
        <v>525</v>
      </c>
      <c r="R745" s="2" t="s">
        <v>585</v>
      </c>
      <c r="S745" s="8">
        <f>B745+2</f>
        <v>40727</v>
      </c>
    </row>
    <row r="746" spans="1:19" x14ac:dyDescent="0.15">
      <c r="A746" s="1">
        <v>58433</v>
      </c>
      <c r="B746" s="6">
        <f>DATE(2012,12,31)-549</f>
        <v>40725</v>
      </c>
      <c r="C746" s="2" t="s">
        <v>913</v>
      </c>
      <c r="D746" s="1">
        <v>20</v>
      </c>
      <c r="E746" s="1">
        <v>5989.0480000000007</v>
      </c>
      <c r="F746" s="1">
        <v>0.09</v>
      </c>
      <c r="G746" s="2" t="s">
        <v>562</v>
      </c>
      <c r="H746" s="10">
        <v>541.01</v>
      </c>
      <c r="I746" s="7">
        <v>400.98</v>
      </c>
      <c r="J746" s="7">
        <v>42.52</v>
      </c>
      <c r="K746" s="2" t="s">
        <v>830</v>
      </c>
      <c r="L746" s="16" t="s">
        <v>919</v>
      </c>
      <c r="M746" s="4" t="s">
        <v>563</v>
      </c>
      <c r="N746" s="2" t="s">
        <v>564</v>
      </c>
      <c r="O746" s="2" t="s">
        <v>570</v>
      </c>
      <c r="P746" s="2" t="s">
        <v>578</v>
      </c>
      <c r="Q746" s="1" t="s">
        <v>70</v>
      </c>
      <c r="R746" s="2" t="s">
        <v>588</v>
      </c>
      <c r="S746" s="8">
        <f>B746+2</f>
        <v>40727</v>
      </c>
    </row>
    <row r="747" spans="1:19" x14ac:dyDescent="0.15">
      <c r="A747" s="1">
        <v>58855</v>
      </c>
      <c r="B747" s="6">
        <f>DATE(2012,12,31)-792</f>
        <v>40482</v>
      </c>
      <c r="C747" s="2" t="s">
        <v>914</v>
      </c>
      <c r="D747" s="1">
        <v>38</v>
      </c>
      <c r="E747" s="1">
        <v>69.260000000000005</v>
      </c>
      <c r="F747" s="1">
        <v>7.0000000000000007E-2</v>
      </c>
      <c r="G747" s="2" t="s">
        <v>560</v>
      </c>
      <c r="H747" s="10">
        <v>-113.86</v>
      </c>
      <c r="I747" s="7">
        <v>1.74</v>
      </c>
      <c r="J747" s="7">
        <v>4.08</v>
      </c>
      <c r="K747" s="2" t="s">
        <v>873</v>
      </c>
      <c r="L747" s="16" t="s">
        <v>919</v>
      </c>
      <c r="M747" s="4" t="s">
        <v>563</v>
      </c>
      <c r="N747" s="2" t="s">
        <v>567</v>
      </c>
      <c r="O747" s="2" t="s">
        <v>570</v>
      </c>
      <c r="P747" s="2" t="s">
        <v>579</v>
      </c>
      <c r="Q747" s="1" t="s">
        <v>674</v>
      </c>
      <c r="R747" s="2" t="s">
        <v>587</v>
      </c>
      <c r="S747" s="8">
        <f>B747+0</f>
        <v>40482</v>
      </c>
    </row>
    <row r="748" spans="1:19" x14ac:dyDescent="0.15">
      <c r="A748" s="1">
        <v>59173</v>
      </c>
      <c r="B748" s="6">
        <f>DATE(2012,12,31)-742</f>
        <v>40532</v>
      </c>
      <c r="C748" s="2" t="s">
        <v>913</v>
      </c>
      <c r="D748" s="1">
        <v>27</v>
      </c>
      <c r="E748" s="1">
        <v>2896.99</v>
      </c>
      <c r="F748" s="1">
        <v>0.01</v>
      </c>
      <c r="G748" s="2" t="s">
        <v>562</v>
      </c>
      <c r="H748" s="10">
        <v>36.94</v>
      </c>
      <c r="I748" s="7">
        <v>100.98</v>
      </c>
      <c r="J748" s="7">
        <v>35.840000000000003</v>
      </c>
      <c r="K748" s="2" t="s">
        <v>125</v>
      </c>
      <c r="L748" s="16" t="s">
        <v>919</v>
      </c>
      <c r="M748" s="4" t="s">
        <v>563</v>
      </c>
      <c r="N748" s="2" t="s">
        <v>564</v>
      </c>
      <c r="O748" s="2" t="s">
        <v>570</v>
      </c>
      <c r="P748" s="2" t="s">
        <v>581</v>
      </c>
      <c r="Q748" s="1" t="s">
        <v>449</v>
      </c>
      <c r="R748" s="2" t="s">
        <v>588</v>
      </c>
      <c r="S748" s="8">
        <f>B748+1</f>
        <v>40533</v>
      </c>
    </row>
    <row r="749" spans="1:19" x14ac:dyDescent="0.15">
      <c r="A749" s="1">
        <v>59204</v>
      </c>
      <c r="B749" s="6">
        <f>DATE(2012,12,31)-306</f>
        <v>40968</v>
      </c>
      <c r="C749" s="2" t="s">
        <v>914</v>
      </c>
      <c r="D749" s="1">
        <v>8</v>
      </c>
      <c r="E749" s="1">
        <v>250.29</v>
      </c>
      <c r="F749" s="1">
        <v>0.1</v>
      </c>
      <c r="G749" s="2" t="s">
        <v>560</v>
      </c>
      <c r="H749" s="10">
        <v>-9.3149999999999942</v>
      </c>
      <c r="I749" s="7">
        <v>31.74</v>
      </c>
      <c r="J749" s="7">
        <v>12.62</v>
      </c>
      <c r="K749" s="2" t="s">
        <v>832</v>
      </c>
      <c r="L749" s="16" t="s">
        <v>919</v>
      </c>
      <c r="M749" s="4" t="s">
        <v>563</v>
      </c>
      <c r="N749" s="2" t="s">
        <v>564</v>
      </c>
      <c r="O749" s="2" t="s">
        <v>568</v>
      </c>
      <c r="P749" s="2" t="s">
        <v>88</v>
      </c>
      <c r="Q749" s="1" t="s">
        <v>427</v>
      </c>
      <c r="R749" s="2" t="s">
        <v>585</v>
      </c>
      <c r="S749" s="8">
        <f>B749+1</f>
        <v>40969</v>
      </c>
    </row>
    <row r="750" spans="1:19" x14ac:dyDescent="0.15">
      <c r="A750" s="1">
        <v>59204</v>
      </c>
      <c r="B750" s="6">
        <f>DATE(2012,12,31)-306</f>
        <v>40968</v>
      </c>
      <c r="C750" s="2" t="s">
        <v>914</v>
      </c>
      <c r="D750" s="1">
        <v>7</v>
      </c>
      <c r="E750" s="1">
        <v>251.59</v>
      </c>
      <c r="F750" s="1">
        <v>0.09</v>
      </c>
      <c r="G750" s="2" t="s">
        <v>560</v>
      </c>
      <c r="H750" s="10">
        <v>39.229999999999997</v>
      </c>
      <c r="I750" s="7">
        <v>37.94</v>
      </c>
      <c r="J750" s="7">
        <v>5.08</v>
      </c>
      <c r="K750" s="2" t="s">
        <v>832</v>
      </c>
      <c r="L750" s="16" t="s">
        <v>919</v>
      </c>
      <c r="M750" s="4" t="s">
        <v>563</v>
      </c>
      <c r="N750" s="2" t="s">
        <v>564</v>
      </c>
      <c r="O750" s="2" t="s">
        <v>568</v>
      </c>
      <c r="P750" s="2" t="s">
        <v>573</v>
      </c>
      <c r="Q750" s="1" t="s">
        <v>633</v>
      </c>
      <c r="R750" s="2" t="s">
        <v>584</v>
      </c>
      <c r="S750" s="8">
        <f>B750+1</f>
        <v>40969</v>
      </c>
    </row>
    <row r="751" spans="1:19" x14ac:dyDescent="0.15">
      <c r="A751" s="1">
        <v>59363</v>
      </c>
      <c r="B751" s="6">
        <f>DATE(2012,12,31)-1339</f>
        <v>39935</v>
      </c>
      <c r="C751" s="2" t="s">
        <v>913</v>
      </c>
      <c r="D751" s="1">
        <v>24</v>
      </c>
      <c r="E751" s="1">
        <v>158.91</v>
      </c>
      <c r="F751" s="1">
        <v>0.06</v>
      </c>
      <c r="G751" s="2" t="s">
        <v>560</v>
      </c>
      <c r="H751" s="10">
        <v>-38.57</v>
      </c>
      <c r="I751" s="7">
        <v>6.68</v>
      </c>
      <c r="J751" s="7">
        <v>5.2</v>
      </c>
      <c r="K751" s="2" t="s">
        <v>867</v>
      </c>
      <c r="L751" s="16" t="s">
        <v>919</v>
      </c>
      <c r="M751" s="4" t="s">
        <v>563</v>
      </c>
      <c r="N751" s="2" t="s">
        <v>565</v>
      </c>
      <c r="O751" s="2" t="s">
        <v>568</v>
      </c>
      <c r="P751" s="2" t="s">
        <v>573</v>
      </c>
      <c r="Q751" s="1" t="s">
        <v>233</v>
      </c>
      <c r="R751" s="2" t="s">
        <v>585</v>
      </c>
      <c r="S751" s="8">
        <f>B751+0</f>
        <v>39935</v>
      </c>
    </row>
    <row r="752" spans="1:19" x14ac:dyDescent="0.15">
      <c r="A752" s="1">
        <v>59553</v>
      </c>
      <c r="B752" s="6">
        <f>DATE(2012,12,31)-780</f>
        <v>40494</v>
      </c>
      <c r="C752" s="2" t="s">
        <v>915</v>
      </c>
      <c r="D752" s="1">
        <v>15</v>
      </c>
      <c r="E752" s="1">
        <v>171.57</v>
      </c>
      <c r="F752" s="1">
        <v>0.04</v>
      </c>
      <c r="G752" s="2" t="s">
        <v>560</v>
      </c>
      <c r="H752" s="10">
        <v>12.5</v>
      </c>
      <c r="I752" s="7">
        <v>11.34</v>
      </c>
      <c r="J752" s="7">
        <v>5.01</v>
      </c>
      <c r="K752" s="2" t="s">
        <v>779</v>
      </c>
      <c r="L752" s="16" t="s">
        <v>919</v>
      </c>
      <c r="M752" s="4" t="s">
        <v>563</v>
      </c>
      <c r="N752" s="2" t="s">
        <v>565</v>
      </c>
      <c r="O752" s="2" t="s">
        <v>568</v>
      </c>
      <c r="P752" s="2" t="s">
        <v>573</v>
      </c>
      <c r="Q752" s="1" t="s">
        <v>51</v>
      </c>
      <c r="R752" s="2" t="s">
        <v>585</v>
      </c>
      <c r="S752" s="8">
        <f>B752+1</f>
        <v>40495</v>
      </c>
    </row>
    <row r="753" spans="1:19" x14ac:dyDescent="0.15">
      <c r="A753" s="1">
        <v>59553</v>
      </c>
      <c r="B753" s="6">
        <f>DATE(2012,12,31)-780</f>
        <v>40494</v>
      </c>
      <c r="C753" s="2" t="s">
        <v>915</v>
      </c>
      <c r="D753" s="1">
        <v>42</v>
      </c>
      <c r="E753" s="1">
        <v>2170.3049999999998</v>
      </c>
      <c r="F753" s="1">
        <v>0.1</v>
      </c>
      <c r="G753" s="2" t="s">
        <v>560</v>
      </c>
      <c r="H753" s="10">
        <v>264.32100000000003</v>
      </c>
      <c r="I753" s="7">
        <v>65.989999999999995</v>
      </c>
      <c r="J753" s="7">
        <v>8.99</v>
      </c>
      <c r="K753" s="2" t="s">
        <v>779</v>
      </c>
      <c r="L753" s="16" t="s">
        <v>919</v>
      </c>
      <c r="M753" s="4" t="s">
        <v>563</v>
      </c>
      <c r="N753" s="2" t="s">
        <v>565</v>
      </c>
      <c r="O753" s="2" t="s">
        <v>569</v>
      </c>
      <c r="P753" s="2" t="s">
        <v>87</v>
      </c>
      <c r="Q753" s="1" t="s">
        <v>456</v>
      </c>
      <c r="R753" s="2" t="s">
        <v>585</v>
      </c>
      <c r="S753" s="8">
        <f>B753+2</f>
        <v>40496</v>
      </c>
    </row>
    <row r="754" spans="1:19" x14ac:dyDescent="0.15">
      <c r="A754" s="1">
        <v>59681</v>
      </c>
      <c r="B754" s="6">
        <f>DATE(2012,12,31)-1299</f>
        <v>39975</v>
      </c>
      <c r="C754" s="2" t="s">
        <v>917</v>
      </c>
      <c r="D754" s="1">
        <v>23</v>
      </c>
      <c r="E754" s="1">
        <v>224.34</v>
      </c>
      <c r="F754" s="1">
        <v>0.02</v>
      </c>
      <c r="G754" s="2" t="s">
        <v>561</v>
      </c>
      <c r="H754" s="10">
        <v>-11.948500000000001</v>
      </c>
      <c r="I754" s="7">
        <v>8.6</v>
      </c>
      <c r="J754" s="7">
        <v>6.19</v>
      </c>
      <c r="K754" s="2" t="s">
        <v>829</v>
      </c>
      <c r="L754" s="16" t="s">
        <v>919</v>
      </c>
      <c r="M754" s="4" t="s">
        <v>563</v>
      </c>
      <c r="N754" s="2" t="s">
        <v>565</v>
      </c>
      <c r="O754" s="2" t="s">
        <v>568</v>
      </c>
      <c r="P754" s="2" t="s">
        <v>88</v>
      </c>
      <c r="Q754" s="1" t="s">
        <v>746</v>
      </c>
      <c r="R754" s="2" t="s">
        <v>585</v>
      </c>
      <c r="S754" s="8">
        <f>B754+2</f>
        <v>39977</v>
      </c>
    </row>
    <row r="755" spans="1:19" x14ac:dyDescent="0.15">
      <c r="A755" s="1">
        <v>59781</v>
      </c>
      <c r="B755" s="6"/>
      <c r="C755" s="2" t="s">
        <v>915</v>
      </c>
      <c r="D755" s="1">
        <v>43</v>
      </c>
      <c r="E755" s="1">
        <v>262.13</v>
      </c>
      <c r="F755" s="1">
        <v>0</v>
      </c>
      <c r="G755" s="2" t="s">
        <v>561</v>
      </c>
      <c r="H755" s="10">
        <v>-60.91</v>
      </c>
      <c r="I755" s="7">
        <v>5.58</v>
      </c>
      <c r="J755" s="7">
        <v>5.3</v>
      </c>
      <c r="K755" s="2" t="s">
        <v>760</v>
      </c>
      <c r="L755" s="16" t="s">
        <v>919</v>
      </c>
      <c r="M755" s="4" t="s">
        <v>563</v>
      </c>
      <c r="N755" s="2" t="s">
        <v>567</v>
      </c>
      <c r="O755" s="2" t="s">
        <v>568</v>
      </c>
      <c r="P755" s="2" t="s">
        <v>575</v>
      </c>
      <c r="Q755" s="1" t="s">
        <v>204</v>
      </c>
      <c r="R755" s="2" t="s">
        <v>585</v>
      </c>
      <c r="S755" s="8">
        <f>B755+1</f>
        <v>1</v>
      </c>
    </row>
    <row r="756" spans="1:19" x14ac:dyDescent="0.15">
      <c r="A756" s="1">
        <v>59781</v>
      </c>
      <c r="B756" s="6"/>
      <c r="C756" s="2" t="s">
        <v>915</v>
      </c>
      <c r="D756" s="1">
        <v>24</v>
      </c>
      <c r="E756" s="1">
        <v>173.12</v>
      </c>
      <c r="F756" s="1">
        <v>0.1</v>
      </c>
      <c r="G756" s="2" t="s">
        <v>560</v>
      </c>
      <c r="H756" s="10">
        <v>-166.41</v>
      </c>
      <c r="I756" s="7">
        <v>7.28</v>
      </c>
      <c r="J756" s="7">
        <v>11.15</v>
      </c>
      <c r="K756" s="2" t="s">
        <v>760</v>
      </c>
      <c r="L756" s="16" t="s">
        <v>919</v>
      </c>
      <c r="M756" s="4" t="s">
        <v>563</v>
      </c>
      <c r="N756" s="2" t="s">
        <v>567</v>
      </c>
      <c r="O756" s="2" t="s">
        <v>568</v>
      </c>
      <c r="P756" s="2" t="s">
        <v>573</v>
      </c>
      <c r="Q756" s="1" t="s">
        <v>101</v>
      </c>
      <c r="R756" s="2" t="s">
        <v>585</v>
      </c>
      <c r="S756" s="8">
        <f>B756+1</f>
        <v>1</v>
      </c>
    </row>
    <row r="757" spans="1:19" x14ac:dyDescent="0.15">
      <c r="A757" s="1">
        <v>59812</v>
      </c>
      <c r="B757" s="6"/>
      <c r="C757" s="2" t="s">
        <v>914</v>
      </c>
      <c r="D757" s="1">
        <v>46</v>
      </c>
      <c r="E757" s="1">
        <v>9261.24</v>
      </c>
      <c r="F757" s="1">
        <v>0</v>
      </c>
      <c r="G757" s="2" t="s">
        <v>560</v>
      </c>
      <c r="H757" s="10">
        <v>1646.43</v>
      </c>
      <c r="I757" s="7">
        <v>193.17</v>
      </c>
      <c r="J757" s="7">
        <v>19.989999999999998</v>
      </c>
      <c r="K757" s="2" t="s">
        <v>899</v>
      </c>
      <c r="L757" s="16" t="s">
        <v>919</v>
      </c>
      <c r="M757" s="4" t="s">
        <v>563</v>
      </c>
      <c r="N757" s="2" t="s">
        <v>566</v>
      </c>
      <c r="O757" s="2" t="s">
        <v>568</v>
      </c>
      <c r="P757" s="2" t="s">
        <v>577</v>
      </c>
      <c r="Q757" s="1" t="s">
        <v>532</v>
      </c>
      <c r="R757" s="2" t="s">
        <v>585</v>
      </c>
      <c r="S757" s="8">
        <f>B757+0</f>
        <v>0</v>
      </c>
    </row>
    <row r="758" spans="1:19" x14ac:dyDescent="0.15">
      <c r="A758" s="1">
        <v>59812</v>
      </c>
      <c r="B758" s="6"/>
      <c r="C758" s="2" t="s">
        <v>914</v>
      </c>
      <c r="D758" s="1">
        <v>2</v>
      </c>
      <c r="E758" s="1">
        <v>28.98</v>
      </c>
      <c r="F758" s="1">
        <v>0.06</v>
      </c>
      <c r="G758" s="2" t="s">
        <v>560</v>
      </c>
      <c r="H758" s="10">
        <v>-18.39</v>
      </c>
      <c r="I758" s="7">
        <v>12.64</v>
      </c>
      <c r="J758" s="7">
        <v>4.9800000000000004</v>
      </c>
      <c r="K758" s="2" t="s">
        <v>899</v>
      </c>
      <c r="L758" s="16" t="s">
        <v>919</v>
      </c>
      <c r="M758" s="4" t="s">
        <v>563</v>
      </c>
      <c r="N758" s="2" t="s">
        <v>566</v>
      </c>
      <c r="O758" s="2" t="s">
        <v>570</v>
      </c>
      <c r="P758" s="2" t="s">
        <v>579</v>
      </c>
      <c r="Q758" s="1" t="s">
        <v>444</v>
      </c>
      <c r="R758" s="2" t="s">
        <v>587</v>
      </c>
      <c r="S758" s="8">
        <f>B758+1</f>
        <v>1</v>
      </c>
    </row>
    <row r="759" spans="1:19" x14ac:dyDescent="0.15">
      <c r="A759" s="1">
        <v>59815</v>
      </c>
      <c r="B759" s="6"/>
      <c r="C759" s="2" t="s">
        <v>915</v>
      </c>
      <c r="D759" s="1">
        <v>14</v>
      </c>
      <c r="E759" s="1">
        <v>51.56</v>
      </c>
      <c r="F759" s="1">
        <v>0.09</v>
      </c>
      <c r="G759" s="2" t="s">
        <v>560</v>
      </c>
      <c r="H759" s="10">
        <v>-1.06</v>
      </c>
      <c r="I759" s="7">
        <v>3.71</v>
      </c>
      <c r="J759" s="7">
        <v>1.93</v>
      </c>
      <c r="K759" s="2" t="s">
        <v>770</v>
      </c>
      <c r="L759" s="16" t="s">
        <v>919</v>
      </c>
      <c r="M759" s="4" t="s">
        <v>563</v>
      </c>
      <c r="N759" s="2" t="s">
        <v>566</v>
      </c>
      <c r="O759" s="2" t="s">
        <v>568</v>
      </c>
      <c r="P759" s="2" t="s">
        <v>573</v>
      </c>
      <c r="Q759" s="1" t="s">
        <v>486</v>
      </c>
      <c r="R759" s="2" t="s">
        <v>584</v>
      </c>
      <c r="S759" s="8">
        <f>B759+2</f>
        <v>2</v>
      </c>
    </row>
    <row r="760" spans="1:19" x14ac:dyDescent="0.15">
      <c r="A760" s="1">
        <v>59971</v>
      </c>
      <c r="B760" s="6">
        <f>DATE(2012,12,31)-580</f>
        <v>40694</v>
      </c>
      <c r="C760" s="2" t="s">
        <v>917</v>
      </c>
      <c r="D760" s="1">
        <v>26</v>
      </c>
      <c r="E760" s="1">
        <v>437.77</v>
      </c>
      <c r="F760" s="1">
        <v>0.01</v>
      </c>
      <c r="G760" s="2" t="s">
        <v>561</v>
      </c>
      <c r="H760" s="10">
        <v>-125.8</v>
      </c>
      <c r="I760" s="7">
        <v>15.98</v>
      </c>
      <c r="J760" s="7">
        <v>8.99</v>
      </c>
      <c r="K760" s="2" t="s">
        <v>838</v>
      </c>
      <c r="L760" s="16" t="s">
        <v>919</v>
      </c>
      <c r="M760" s="4" t="s">
        <v>563</v>
      </c>
      <c r="N760" s="2" t="s">
        <v>564</v>
      </c>
      <c r="O760" s="2" t="s">
        <v>569</v>
      </c>
      <c r="P760" s="2" t="s">
        <v>572</v>
      </c>
      <c r="Q760" s="1" t="s">
        <v>12</v>
      </c>
      <c r="R760" s="2" t="s">
        <v>587</v>
      </c>
      <c r="S760" s="8">
        <f>B760+2</f>
        <v>40696</v>
      </c>
    </row>
    <row r="761" spans="1:19" x14ac:dyDescent="0.15">
      <c r="A761" s="1">
        <v>59971</v>
      </c>
      <c r="B761" s="6">
        <f>DATE(2012,12,31)-580</f>
        <v>40694</v>
      </c>
      <c r="C761" s="2" t="s">
        <v>917</v>
      </c>
      <c r="D761" s="1">
        <v>45</v>
      </c>
      <c r="E761" s="1">
        <v>514.86</v>
      </c>
      <c r="F761" s="1">
        <v>0.08</v>
      </c>
      <c r="G761" s="2" t="s">
        <v>560</v>
      </c>
      <c r="H761" s="10">
        <v>-10.84</v>
      </c>
      <c r="I761" s="7">
        <v>12.28</v>
      </c>
      <c r="J761" s="7">
        <v>6.47</v>
      </c>
      <c r="K761" s="2" t="s">
        <v>838</v>
      </c>
      <c r="L761" s="16" t="s">
        <v>919</v>
      </c>
      <c r="M761" s="4" t="s">
        <v>563</v>
      </c>
      <c r="N761" s="2" t="s">
        <v>564</v>
      </c>
      <c r="O761" s="2" t="s">
        <v>568</v>
      </c>
      <c r="P761" s="2" t="s">
        <v>573</v>
      </c>
      <c r="Q761" s="1" t="s">
        <v>148</v>
      </c>
      <c r="R761" s="2" t="s">
        <v>585</v>
      </c>
      <c r="S761" s="8">
        <f>B761+2</f>
        <v>40696</v>
      </c>
    </row>
    <row r="762" spans="1:19" x14ac:dyDescent="0.15">
      <c r="A762" s="1">
        <v>59971</v>
      </c>
      <c r="B762" s="6">
        <f>DATE(2012,12,31)-580</f>
        <v>40694</v>
      </c>
      <c r="C762" s="2" t="s">
        <v>917</v>
      </c>
      <c r="D762" s="1">
        <v>12</v>
      </c>
      <c r="E762" s="1">
        <v>356.27</v>
      </c>
      <c r="F762" s="1">
        <v>0.1</v>
      </c>
      <c r="G762" s="2" t="s">
        <v>561</v>
      </c>
      <c r="H762" s="10">
        <v>84.53</v>
      </c>
      <c r="I762" s="7">
        <v>30.98</v>
      </c>
      <c r="J762" s="7">
        <v>5.09</v>
      </c>
      <c r="K762" s="2" t="s">
        <v>838</v>
      </c>
      <c r="L762" s="16" t="s">
        <v>919</v>
      </c>
      <c r="M762" s="4" t="s">
        <v>563</v>
      </c>
      <c r="N762" s="2" t="s">
        <v>564</v>
      </c>
      <c r="O762" s="2" t="s">
        <v>568</v>
      </c>
      <c r="P762" s="2" t="s">
        <v>573</v>
      </c>
      <c r="Q762" s="1" t="s">
        <v>438</v>
      </c>
      <c r="R762" s="2" t="s">
        <v>585</v>
      </c>
      <c r="S762" s="8">
        <f>B762+2</f>
        <v>40696</v>
      </c>
    </row>
    <row r="763" spans="1:19" x14ac:dyDescent="0.15">
      <c r="A763" s="1">
        <v>481</v>
      </c>
      <c r="B763" s="6">
        <f>DATE(2012,12,31)-85</f>
        <v>41189</v>
      </c>
      <c r="C763" s="2" t="s">
        <v>913</v>
      </c>
      <c r="D763" s="1">
        <v>44</v>
      </c>
      <c r="E763" s="1">
        <v>4509.3774999999996</v>
      </c>
      <c r="F763" s="1">
        <v>0.01</v>
      </c>
      <c r="G763" s="2" t="s">
        <v>560</v>
      </c>
      <c r="H763" s="10">
        <v>1426.2570000000001</v>
      </c>
      <c r="I763" s="7">
        <v>115.99</v>
      </c>
      <c r="J763" s="7">
        <v>5.26</v>
      </c>
      <c r="K763" s="2" t="s">
        <v>885</v>
      </c>
      <c r="L763" s="16" t="s">
        <v>919</v>
      </c>
      <c r="M763" s="4" t="s">
        <v>563</v>
      </c>
      <c r="N763" s="2" t="s">
        <v>564</v>
      </c>
      <c r="O763" s="2" t="s">
        <v>569</v>
      </c>
      <c r="P763" s="2" t="s">
        <v>87</v>
      </c>
      <c r="Q763" s="1" t="s">
        <v>160</v>
      </c>
      <c r="R763" s="2" t="s">
        <v>585</v>
      </c>
      <c r="S763" s="8">
        <f>B763+2</f>
        <v>41191</v>
      </c>
    </row>
    <row r="764" spans="1:19" x14ac:dyDescent="0.15">
      <c r="A764" s="1">
        <v>834</v>
      </c>
      <c r="B764" s="6">
        <f>DATE(2012,12,31)-1319</f>
        <v>39955</v>
      </c>
      <c r="C764" s="2" t="s">
        <v>914</v>
      </c>
      <c r="D764" s="1">
        <v>15</v>
      </c>
      <c r="E764" s="1">
        <v>1813.04</v>
      </c>
      <c r="F764" s="1">
        <v>0.01</v>
      </c>
      <c r="G764" s="2" t="s">
        <v>562</v>
      </c>
      <c r="H764" s="10">
        <v>-164.39520000000002</v>
      </c>
      <c r="I764" s="7">
        <v>115.99</v>
      </c>
      <c r="J764" s="7">
        <v>56.14</v>
      </c>
      <c r="K764" s="2" t="s">
        <v>784</v>
      </c>
      <c r="L764" s="16" t="s">
        <v>919</v>
      </c>
      <c r="M764" s="4" t="s">
        <v>563</v>
      </c>
      <c r="N764" s="2" t="s">
        <v>564</v>
      </c>
      <c r="O764" s="2" t="s">
        <v>569</v>
      </c>
      <c r="P764" s="2" t="s">
        <v>583</v>
      </c>
      <c r="Q764" s="1" t="s">
        <v>33</v>
      </c>
      <c r="R764" s="2" t="s">
        <v>586</v>
      </c>
      <c r="S764" s="8">
        <f>B764+1</f>
        <v>39956</v>
      </c>
    </row>
    <row r="765" spans="1:19" x14ac:dyDescent="0.15">
      <c r="A765" s="1">
        <v>1414</v>
      </c>
      <c r="B765" s="6">
        <f>DATE(2012,12,31)-504</f>
        <v>40770</v>
      </c>
      <c r="C765" s="2" t="s">
        <v>917</v>
      </c>
      <c r="D765" s="1">
        <v>44</v>
      </c>
      <c r="E765" s="1">
        <v>4530.96</v>
      </c>
      <c r="F765" s="1">
        <v>7.0000000000000007E-2</v>
      </c>
      <c r="G765" s="2" t="s">
        <v>562</v>
      </c>
      <c r="H765" s="10">
        <v>-993.35</v>
      </c>
      <c r="I765" s="7">
        <v>105.49</v>
      </c>
      <c r="J765" s="7">
        <v>41.64</v>
      </c>
      <c r="K765" s="2" t="s">
        <v>876</v>
      </c>
      <c r="L765" s="16" t="s">
        <v>919</v>
      </c>
      <c r="M765" s="4" t="s">
        <v>563</v>
      </c>
      <c r="N765" s="2" t="s">
        <v>565</v>
      </c>
      <c r="O765" s="2" t="s">
        <v>570</v>
      </c>
      <c r="P765" s="2" t="s">
        <v>578</v>
      </c>
      <c r="Q765" s="1" t="s">
        <v>559</v>
      </c>
      <c r="R765" s="2" t="s">
        <v>588</v>
      </c>
      <c r="S765" s="8">
        <f>B765+0</f>
        <v>40770</v>
      </c>
    </row>
    <row r="766" spans="1:19" x14ac:dyDescent="0.15">
      <c r="A766" s="1">
        <v>2305</v>
      </c>
      <c r="B766" s="6">
        <f>DATE(2012,12,31)-1071</f>
        <v>40203</v>
      </c>
      <c r="C766" s="2" t="s">
        <v>913</v>
      </c>
      <c r="D766" s="1">
        <v>33</v>
      </c>
      <c r="E766" s="1">
        <v>3116.47</v>
      </c>
      <c r="F766" s="1">
        <v>0.1</v>
      </c>
      <c r="G766" s="2" t="s">
        <v>562</v>
      </c>
      <c r="H766" s="10">
        <v>-1578.26</v>
      </c>
      <c r="I766" s="7">
        <v>100.98</v>
      </c>
      <c r="J766" s="7">
        <v>57.38</v>
      </c>
      <c r="K766" s="2" t="s">
        <v>871</v>
      </c>
      <c r="L766" s="16" t="s">
        <v>919</v>
      </c>
      <c r="M766" s="4" t="s">
        <v>563</v>
      </c>
      <c r="N766" s="2" t="s">
        <v>564</v>
      </c>
      <c r="O766" s="2" t="s">
        <v>570</v>
      </c>
      <c r="P766" s="2" t="s">
        <v>581</v>
      </c>
      <c r="Q766" s="1" t="s">
        <v>662</v>
      </c>
      <c r="R766" s="2" t="s">
        <v>588</v>
      </c>
      <c r="S766" s="8">
        <f>B766+2</f>
        <v>40205</v>
      </c>
    </row>
    <row r="767" spans="1:19" x14ac:dyDescent="0.15">
      <c r="A767" s="1">
        <v>2305</v>
      </c>
      <c r="B767" s="6">
        <f>DATE(2012,12,31)-1071</f>
        <v>40203</v>
      </c>
      <c r="C767" s="2" t="s">
        <v>913</v>
      </c>
      <c r="D767" s="1">
        <v>1</v>
      </c>
      <c r="E767" s="1">
        <v>12.41</v>
      </c>
      <c r="F767" s="1">
        <v>0.01</v>
      </c>
      <c r="G767" s="2" t="s">
        <v>560</v>
      </c>
      <c r="H767" s="10">
        <v>-9.08</v>
      </c>
      <c r="I767" s="7">
        <v>6.68</v>
      </c>
      <c r="J767" s="7">
        <v>5.66</v>
      </c>
      <c r="K767" s="2" t="s">
        <v>871</v>
      </c>
      <c r="L767" s="16" t="s">
        <v>919</v>
      </c>
      <c r="M767" s="4" t="s">
        <v>563</v>
      </c>
      <c r="N767" s="2" t="s">
        <v>564</v>
      </c>
      <c r="O767" s="2" t="s">
        <v>568</v>
      </c>
      <c r="P767" s="2" t="s">
        <v>573</v>
      </c>
      <c r="Q767" s="1" t="s">
        <v>327</v>
      </c>
      <c r="R767" s="2" t="s">
        <v>585</v>
      </c>
      <c r="S767" s="8">
        <f>B767+1</f>
        <v>40204</v>
      </c>
    </row>
    <row r="768" spans="1:19" x14ac:dyDescent="0.15">
      <c r="A768" s="1">
        <v>2311</v>
      </c>
      <c r="B768" s="6">
        <f>DATE(2012,12,31)-610</f>
        <v>40664</v>
      </c>
      <c r="C768" s="2" t="s">
        <v>913</v>
      </c>
      <c r="D768" s="1">
        <v>31</v>
      </c>
      <c r="E768" s="1">
        <v>1324.09</v>
      </c>
      <c r="F768" s="1">
        <v>0.01</v>
      </c>
      <c r="G768" s="2" t="s">
        <v>560</v>
      </c>
      <c r="H768" s="10">
        <v>94.96</v>
      </c>
      <c r="I768" s="7">
        <v>40.89</v>
      </c>
      <c r="J768" s="7">
        <v>18.98</v>
      </c>
      <c r="K768" s="2" t="s">
        <v>844</v>
      </c>
      <c r="L768" s="16" t="s">
        <v>919</v>
      </c>
      <c r="M768" s="4" t="s">
        <v>563</v>
      </c>
      <c r="N768" s="2" t="s">
        <v>564</v>
      </c>
      <c r="O768" s="2" t="s">
        <v>570</v>
      </c>
      <c r="P768" s="2" t="s">
        <v>579</v>
      </c>
      <c r="Q768" s="1" t="s">
        <v>369</v>
      </c>
      <c r="R768" s="2" t="s">
        <v>585</v>
      </c>
      <c r="S768" s="8">
        <f>B768+1</f>
        <v>40665</v>
      </c>
    </row>
    <row r="769" spans="1:19" x14ac:dyDescent="0.15">
      <c r="A769" s="1">
        <v>2438</v>
      </c>
      <c r="B769" s="6">
        <f>DATE(2012,12,31)-901</f>
        <v>40373</v>
      </c>
      <c r="C769" s="2" t="s">
        <v>913</v>
      </c>
      <c r="D769" s="1">
        <v>20</v>
      </c>
      <c r="E769" s="1">
        <v>278.68</v>
      </c>
      <c r="F769" s="1">
        <v>0.06</v>
      </c>
      <c r="G769" s="2" t="s">
        <v>560</v>
      </c>
      <c r="H769" s="10">
        <v>8.8994999999999997</v>
      </c>
      <c r="I769" s="7">
        <v>14.48</v>
      </c>
      <c r="J769" s="7">
        <v>6.46</v>
      </c>
      <c r="K769" s="2" t="s">
        <v>796</v>
      </c>
      <c r="L769" s="16" t="s">
        <v>919</v>
      </c>
      <c r="M769" s="4" t="s">
        <v>563</v>
      </c>
      <c r="N769" s="2" t="s">
        <v>567</v>
      </c>
      <c r="O769" s="2" t="s">
        <v>568</v>
      </c>
      <c r="P769" s="2" t="s">
        <v>88</v>
      </c>
      <c r="Q769" s="1" t="s">
        <v>726</v>
      </c>
      <c r="R769" s="2" t="s">
        <v>585</v>
      </c>
      <c r="S769" s="8">
        <f>B769+3</f>
        <v>40376</v>
      </c>
    </row>
    <row r="770" spans="1:19" x14ac:dyDescent="0.15">
      <c r="A770" s="1">
        <v>2438</v>
      </c>
      <c r="B770" s="6">
        <f>DATE(2012,12,31)-901</f>
        <v>40373</v>
      </c>
      <c r="C770" s="2" t="s">
        <v>913</v>
      </c>
      <c r="D770" s="1">
        <v>23</v>
      </c>
      <c r="E770" s="1">
        <v>717.46799999999996</v>
      </c>
      <c r="F770" s="1">
        <v>0.01</v>
      </c>
      <c r="G770" s="2" t="s">
        <v>560</v>
      </c>
      <c r="H770" s="10">
        <v>316.476</v>
      </c>
      <c r="I770" s="7">
        <v>35.99</v>
      </c>
      <c r="J770" s="7">
        <v>0.99</v>
      </c>
      <c r="K770" s="2" t="s">
        <v>796</v>
      </c>
      <c r="L770" s="16" t="s">
        <v>919</v>
      </c>
      <c r="M770" s="4" t="s">
        <v>563</v>
      </c>
      <c r="N770" s="2" t="s">
        <v>567</v>
      </c>
      <c r="O770" s="2" t="s">
        <v>569</v>
      </c>
      <c r="P770" s="2" t="s">
        <v>87</v>
      </c>
      <c r="Q770" s="1" t="s">
        <v>712</v>
      </c>
      <c r="R770" s="2" t="s">
        <v>587</v>
      </c>
      <c r="S770" s="8">
        <f>B770+2</f>
        <v>40375</v>
      </c>
    </row>
    <row r="771" spans="1:19" x14ac:dyDescent="0.15">
      <c r="A771" s="1">
        <v>2595</v>
      </c>
      <c r="B771" s="6">
        <f>DATE(2012,12,31)-384</f>
        <v>40890</v>
      </c>
      <c r="C771" s="2" t="s">
        <v>915</v>
      </c>
      <c r="D771" s="1">
        <v>13</v>
      </c>
      <c r="E771" s="1">
        <v>11764.25</v>
      </c>
      <c r="F771" s="1">
        <v>0.04</v>
      </c>
      <c r="G771" s="2" t="s">
        <v>562</v>
      </c>
      <c r="H771" s="10">
        <v>2322.44</v>
      </c>
      <c r="I771" s="7">
        <v>880.98</v>
      </c>
      <c r="J771" s="7">
        <v>44.55</v>
      </c>
      <c r="K771" s="2" t="s">
        <v>866</v>
      </c>
      <c r="L771" s="16" t="s">
        <v>919</v>
      </c>
      <c r="M771" s="4" t="s">
        <v>563</v>
      </c>
      <c r="N771" s="2" t="s">
        <v>567</v>
      </c>
      <c r="O771" s="2" t="s">
        <v>570</v>
      </c>
      <c r="P771" s="2" t="s">
        <v>581</v>
      </c>
      <c r="Q771" s="1" t="s">
        <v>56</v>
      </c>
      <c r="R771" s="2" t="s">
        <v>588</v>
      </c>
      <c r="S771" s="8">
        <f>B771+1</f>
        <v>40891</v>
      </c>
    </row>
    <row r="772" spans="1:19" x14ac:dyDescent="0.15">
      <c r="A772" s="1">
        <v>2595</v>
      </c>
      <c r="B772" s="6">
        <f>DATE(2012,12,31)-384</f>
        <v>40890</v>
      </c>
      <c r="C772" s="2" t="s">
        <v>915</v>
      </c>
      <c r="D772" s="1">
        <v>4</v>
      </c>
      <c r="E772" s="1">
        <v>25.17</v>
      </c>
      <c r="F772" s="1">
        <v>0.09</v>
      </c>
      <c r="G772" s="2" t="s">
        <v>560</v>
      </c>
      <c r="H772" s="10">
        <v>5.88</v>
      </c>
      <c r="I772" s="7">
        <v>5.47</v>
      </c>
      <c r="J772" s="7">
        <v>5.26</v>
      </c>
      <c r="K772" s="2" t="s">
        <v>866</v>
      </c>
      <c r="L772" s="16" t="s">
        <v>919</v>
      </c>
      <c r="M772" s="4" t="s">
        <v>563</v>
      </c>
      <c r="N772" s="2" t="s">
        <v>567</v>
      </c>
      <c r="O772" s="2" t="s">
        <v>570</v>
      </c>
      <c r="P772" s="2" t="s">
        <v>579</v>
      </c>
      <c r="Q772" s="1" t="s">
        <v>222</v>
      </c>
      <c r="R772" s="2" t="s">
        <v>587</v>
      </c>
      <c r="S772" s="8">
        <f>B772+2</f>
        <v>40892</v>
      </c>
    </row>
    <row r="773" spans="1:19" x14ac:dyDescent="0.15">
      <c r="A773" s="1">
        <v>2595</v>
      </c>
      <c r="B773" s="6">
        <f>DATE(2012,12,31)-384</f>
        <v>40890</v>
      </c>
      <c r="C773" s="2" t="s">
        <v>915</v>
      </c>
      <c r="D773" s="1">
        <v>29</v>
      </c>
      <c r="E773" s="1">
        <v>208.47</v>
      </c>
      <c r="F773" s="1">
        <v>0.01</v>
      </c>
      <c r="G773" s="2" t="s">
        <v>561</v>
      </c>
      <c r="H773" s="10">
        <v>-125.6</v>
      </c>
      <c r="I773" s="7">
        <v>6.48</v>
      </c>
      <c r="J773" s="7">
        <v>8.74</v>
      </c>
      <c r="K773" s="2" t="s">
        <v>866</v>
      </c>
      <c r="L773" s="16" t="s">
        <v>919</v>
      </c>
      <c r="M773" s="4" t="s">
        <v>563</v>
      </c>
      <c r="N773" s="2" t="s">
        <v>567</v>
      </c>
      <c r="O773" s="2" t="s">
        <v>568</v>
      </c>
      <c r="P773" s="2" t="s">
        <v>573</v>
      </c>
      <c r="Q773" s="1" t="s">
        <v>103</v>
      </c>
      <c r="R773" s="2" t="s">
        <v>585</v>
      </c>
      <c r="S773" s="8">
        <f>B773+2</f>
        <v>40892</v>
      </c>
    </row>
    <row r="774" spans="1:19" x14ac:dyDescent="0.15">
      <c r="A774" s="1">
        <v>2790</v>
      </c>
      <c r="B774" s="6">
        <f>DATE(2012,12,31)-1231</f>
        <v>40043</v>
      </c>
      <c r="C774" s="2" t="s">
        <v>913</v>
      </c>
      <c r="D774" s="1">
        <v>7</v>
      </c>
      <c r="E774" s="1">
        <v>45.91</v>
      </c>
      <c r="F774" s="1">
        <v>0.01</v>
      </c>
      <c r="G774" s="2" t="s">
        <v>560</v>
      </c>
      <c r="H774" s="10">
        <v>-35.534999999999997</v>
      </c>
      <c r="I774" s="7">
        <v>5.44</v>
      </c>
      <c r="J774" s="7">
        <v>7.46</v>
      </c>
      <c r="K774" s="2" t="s">
        <v>871</v>
      </c>
      <c r="L774" s="16" t="s">
        <v>919</v>
      </c>
      <c r="M774" s="4" t="s">
        <v>563</v>
      </c>
      <c r="N774" s="2" t="s">
        <v>564</v>
      </c>
      <c r="O774" s="2" t="s">
        <v>568</v>
      </c>
      <c r="P774" s="2" t="s">
        <v>88</v>
      </c>
      <c r="Q774" s="1" t="s">
        <v>217</v>
      </c>
      <c r="R774" s="2" t="s">
        <v>585</v>
      </c>
      <c r="S774" s="8">
        <f>B774+1</f>
        <v>40044</v>
      </c>
    </row>
    <row r="775" spans="1:19" x14ac:dyDescent="0.15">
      <c r="A775" s="1">
        <v>2790</v>
      </c>
      <c r="B775" s="6">
        <f>DATE(2012,12,31)-1231</f>
        <v>40043</v>
      </c>
      <c r="C775" s="2" t="s">
        <v>913</v>
      </c>
      <c r="D775" s="1">
        <v>41</v>
      </c>
      <c r="E775" s="1">
        <v>22319.58</v>
      </c>
      <c r="F775" s="1">
        <v>0.02</v>
      </c>
      <c r="G775" s="2" t="s">
        <v>562</v>
      </c>
      <c r="H775" s="10">
        <v>-734.31</v>
      </c>
      <c r="I775" s="7">
        <v>549.99</v>
      </c>
      <c r="J775" s="7">
        <v>49</v>
      </c>
      <c r="K775" s="2" t="s">
        <v>871</v>
      </c>
      <c r="L775" s="16" t="s">
        <v>919</v>
      </c>
      <c r="M775" s="4" t="s">
        <v>563</v>
      </c>
      <c r="N775" s="2" t="s">
        <v>564</v>
      </c>
      <c r="O775" s="2" t="s">
        <v>569</v>
      </c>
      <c r="P775" s="2" t="s">
        <v>90</v>
      </c>
      <c r="Q775" s="1" t="s">
        <v>556</v>
      </c>
      <c r="R775" s="2" t="s">
        <v>586</v>
      </c>
      <c r="S775" s="8">
        <f>B775+2</f>
        <v>40045</v>
      </c>
    </row>
    <row r="776" spans="1:19" x14ac:dyDescent="0.15">
      <c r="A776" s="1">
        <v>2790</v>
      </c>
      <c r="B776" s="6">
        <f>DATE(2012,12,31)-1231</f>
        <v>40043</v>
      </c>
      <c r="C776" s="2" t="s">
        <v>913</v>
      </c>
      <c r="D776" s="1">
        <v>15</v>
      </c>
      <c r="E776" s="1">
        <v>330.24</v>
      </c>
      <c r="F776" s="1">
        <v>0.03</v>
      </c>
      <c r="G776" s="2" t="s">
        <v>561</v>
      </c>
      <c r="H776" s="10">
        <v>8.48</v>
      </c>
      <c r="I776" s="7">
        <v>22.01</v>
      </c>
      <c r="J776" s="7">
        <v>5.53</v>
      </c>
      <c r="K776" s="2" t="s">
        <v>871</v>
      </c>
      <c r="L776" s="16" t="s">
        <v>919</v>
      </c>
      <c r="M776" s="4" t="s">
        <v>563</v>
      </c>
      <c r="N776" s="2" t="s">
        <v>564</v>
      </c>
      <c r="O776" s="2" t="s">
        <v>568</v>
      </c>
      <c r="P776" s="2" t="s">
        <v>571</v>
      </c>
      <c r="Q776" s="1" t="s">
        <v>725</v>
      </c>
      <c r="R776" s="2" t="s">
        <v>587</v>
      </c>
      <c r="S776" s="8">
        <f>B776+1</f>
        <v>40044</v>
      </c>
    </row>
    <row r="777" spans="1:19" x14ac:dyDescent="0.15">
      <c r="A777" s="1">
        <v>2790</v>
      </c>
      <c r="B777" s="6">
        <f>DATE(2012,12,31)-1231</f>
        <v>40043</v>
      </c>
      <c r="C777" s="2" t="s">
        <v>913</v>
      </c>
      <c r="D777" s="1">
        <v>15</v>
      </c>
      <c r="E777" s="1">
        <v>520.65</v>
      </c>
      <c r="F777" s="1">
        <v>0.09</v>
      </c>
      <c r="G777" s="2" t="s">
        <v>560</v>
      </c>
      <c r="H777" s="10">
        <v>30.63</v>
      </c>
      <c r="I777" s="7">
        <v>34.76</v>
      </c>
      <c r="J777" s="7">
        <v>8.2200000000000006</v>
      </c>
      <c r="K777" s="2" t="s">
        <v>871</v>
      </c>
      <c r="L777" s="16" t="s">
        <v>919</v>
      </c>
      <c r="M777" s="4" t="s">
        <v>563</v>
      </c>
      <c r="N777" s="2" t="s">
        <v>564</v>
      </c>
      <c r="O777" s="2" t="s">
        <v>568</v>
      </c>
      <c r="P777" s="2" t="s">
        <v>577</v>
      </c>
      <c r="Q777" s="1" t="s">
        <v>665</v>
      </c>
      <c r="R777" s="2" t="s">
        <v>585</v>
      </c>
      <c r="S777" s="8">
        <f>B777+2</f>
        <v>40045</v>
      </c>
    </row>
    <row r="778" spans="1:19" x14ac:dyDescent="0.15">
      <c r="A778" s="1">
        <v>3395</v>
      </c>
      <c r="B778" s="6">
        <f>DATE(2012,12,31)-1159</f>
        <v>40115</v>
      </c>
      <c r="C778" s="2" t="s">
        <v>915</v>
      </c>
      <c r="D778" s="1">
        <v>31</v>
      </c>
      <c r="E778" s="1">
        <v>181.17</v>
      </c>
      <c r="F778" s="1">
        <v>0.06</v>
      </c>
      <c r="G778" s="2" t="s">
        <v>561</v>
      </c>
      <c r="H778" s="10">
        <v>-59.880499999999998</v>
      </c>
      <c r="I778" s="7">
        <v>5.38</v>
      </c>
      <c r="J778" s="7">
        <v>5.24</v>
      </c>
      <c r="K778" s="2" t="s">
        <v>845</v>
      </c>
      <c r="L778" s="16" t="s">
        <v>919</v>
      </c>
      <c r="M778" s="4" t="s">
        <v>563</v>
      </c>
      <c r="N778" s="2" t="s">
        <v>566</v>
      </c>
      <c r="O778" s="2" t="s">
        <v>568</v>
      </c>
      <c r="P778" s="2" t="s">
        <v>88</v>
      </c>
      <c r="Q778" s="1" t="s">
        <v>359</v>
      </c>
      <c r="R778" s="2" t="s">
        <v>585</v>
      </c>
      <c r="S778" s="8">
        <f>B778+2</f>
        <v>40117</v>
      </c>
    </row>
    <row r="779" spans="1:19" x14ac:dyDescent="0.15">
      <c r="A779" s="1">
        <v>3395</v>
      </c>
      <c r="B779" s="6">
        <f>DATE(2012,12,31)-1159</f>
        <v>40115</v>
      </c>
      <c r="C779" s="2" t="s">
        <v>915</v>
      </c>
      <c r="D779" s="1">
        <v>1</v>
      </c>
      <c r="E779" s="1">
        <v>13.16</v>
      </c>
      <c r="F779" s="1">
        <v>0.03</v>
      </c>
      <c r="G779" s="2" t="s">
        <v>560</v>
      </c>
      <c r="H779" s="10">
        <v>-10.29</v>
      </c>
      <c r="I779" s="7">
        <v>7.35</v>
      </c>
      <c r="J779" s="7">
        <v>5.96</v>
      </c>
      <c r="K779" s="2" t="s">
        <v>845</v>
      </c>
      <c r="L779" s="16" t="s">
        <v>919</v>
      </c>
      <c r="M779" s="4" t="s">
        <v>563</v>
      </c>
      <c r="N779" s="2" t="s">
        <v>566</v>
      </c>
      <c r="O779" s="2" t="s">
        <v>568</v>
      </c>
      <c r="P779" s="2" t="s">
        <v>573</v>
      </c>
      <c r="Q779" s="1" t="s">
        <v>277</v>
      </c>
      <c r="R779" s="2" t="s">
        <v>585</v>
      </c>
      <c r="S779" s="8">
        <f>B779+2</f>
        <v>40117</v>
      </c>
    </row>
    <row r="780" spans="1:19" x14ac:dyDescent="0.15">
      <c r="A780" s="1">
        <v>3395</v>
      </c>
      <c r="B780" s="6">
        <f>DATE(2012,12,31)-1159</f>
        <v>40115</v>
      </c>
      <c r="C780" s="2" t="s">
        <v>915</v>
      </c>
      <c r="D780" s="1">
        <v>7</v>
      </c>
      <c r="E780" s="1">
        <v>107.88</v>
      </c>
      <c r="F780" s="1">
        <v>0.02</v>
      </c>
      <c r="G780" s="2" t="s">
        <v>560</v>
      </c>
      <c r="H780" s="10">
        <v>25.59</v>
      </c>
      <c r="I780" s="7">
        <v>15.57</v>
      </c>
      <c r="J780" s="7">
        <v>1.39</v>
      </c>
      <c r="K780" s="2" t="s">
        <v>845</v>
      </c>
      <c r="L780" s="16" t="s">
        <v>919</v>
      </c>
      <c r="M780" s="4" t="s">
        <v>563</v>
      </c>
      <c r="N780" s="2" t="s">
        <v>566</v>
      </c>
      <c r="O780" s="2" t="s">
        <v>568</v>
      </c>
      <c r="P780" s="2" t="s">
        <v>575</v>
      </c>
      <c r="Q780" s="1" t="s">
        <v>642</v>
      </c>
      <c r="R780" s="2" t="s">
        <v>585</v>
      </c>
      <c r="S780" s="8">
        <f>B780+1</f>
        <v>40116</v>
      </c>
    </row>
    <row r="781" spans="1:19" x14ac:dyDescent="0.15">
      <c r="A781" s="1">
        <v>3395</v>
      </c>
      <c r="B781" s="6">
        <f>DATE(2012,12,31)-1159</f>
        <v>40115</v>
      </c>
      <c r="C781" s="2" t="s">
        <v>915</v>
      </c>
      <c r="D781" s="1">
        <v>29</v>
      </c>
      <c r="E781" s="1">
        <v>623.02</v>
      </c>
      <c r="F781" s="1">
        <v>0.02</v>
      </c>
      <c r="G781" s="2" t="s">
        <v>560</v>
      </c>
      <c r="H781" s="10">
        <v>-255.66</v>
      </c>
      <c r="I781" s="7">
        <v>20.89</v>
      </c>
      <c r="J781" s="7">
        <v>11.52</v>
      </c>
      <c r="K781" s="2" t="s">
        <v>845</v>
      </c>
      <c r="L781" s="16" t="s">
        <v>919</v>
      </c>
      <c r="M781" s="4" t="s">
        <v>563</v>
      </c>
      <c r="N781" s="2" t="s">
        <v>566</v>
      </c>
      <c r="O781" s="2" t="s">
        <v>568</v>
      </c>
      <c r="P781" s="2" t="s">
        <v>577</v>
      </c>
      <c r="Q781" s="1" t="s">
        <v>273</v>
      </c>
      <c r="R781" s="2" t="s">
        <v>585</v>
      </c>
      <c r="S781" s="8">
        <f>B781+1</f>
        <v>40116</v>
      </c>
    </row>
    <row r="782" spans="1:19" x14ac:dyDescent="0.15">
      <c r="A782" s="1">
        <v>3907</v>
      </c>
      <c r="B782" s="6">
        <f>DATE(2012,12,31)-135</f>
        <v>41139</v>
      </c>
      <c r="C782" s="2" t="s">
        <v>914</v>
      </c>
      <c r="D782" s="1">
        <v>34</v>
      </c>
      <c r="E782" s="1">
        <v>729.83</v>
      </c>
      <c r="F782" s="1">
        <v>7.0000000000000007E-2</v>
      </c>
      <c r="G782" s="2" t="s">
        <v>560</v>
      </c>
      <c r="H782" s="10">
        <v>-135.102</v>
      </c>
      <c r="I782" s="7">
        <v>22.38</v>
      </c>
      <c r="J782" s="7">
        <v>15.1</v>
      </c>
      <c r="K782" s="2" t="s">
        <v>787</v>
      </c>
      <c r="L782" s="16" t="s">
        <v>919</v>
      </c>
      <c r="M782" s="4" t="s">
        <v>563</v>
      </c>
      <c r="N782" s="2" t="s">
        <v>565</v>
      </c>
      <c r="O782" s="2" t="s">
        <v>568</v>
      </c>
      <c r="P782" s="2" t="s">
        <v>88</v>
      </c>
      <c r="Q782" s="1" t="s">
        <v>41</v>
      </c>
      <c r="R782" s="2" t="s">
        <v>585</v>
      </c>
      <c r="S782" s="8">
        <f>B782+2</f>
        <v>41141</v>
      </c>
    </row>
    <row r="783" spans="1:19" x14ac:dyDescent="0.15">
      <c r="A783" s="1">
        <v>3907</v>
      </c>
      <c r="B783" s="6">
        <f>DATE(2012,12,31)-135</f>
        <v>41139</v>
      </c>
      <c r="C783" s="2" t="s">
        <v>914</v>
      </c>
      <c r="D783" s="1">
        <v>36</v>
      </c>
      <c r="E783" s="1">
        <v>1083.19</v>
      </c>
      <c r="F783" s="1">
        <v>0.03</v>
      </c>
      <c r="G783" s="2" t="s">
        <v>561</v>
      </c>
      <c r="H783" s="10">
        <v>214.61</v>
      </c>
      <c r="I783" s="7">
        <v>29.99</v>
      </c>
      <c r="J783" s="7">
        <v>5.5</v>
      </c>
      <c r="K783" s="2" t="s">
        <v>787</v>
      </c>
      <c r="L783" s="16" t="s">
        <v>919</v>
      </c>
      <c r="M783" s="4" t="s">
        <v>563</v>
      </c>
      <c r="N783" s="2" t="s">
        <v>565</v>
      </c>
      <c r="O783" s="2" t="s">
        <v>569</v>
      </c>
      <c r="P783" s="2" t="s">
        <v>572</v>
      </c>
      <c r="Q783" s="1" t="s">
        <v>637</v>
      </c>
      <c r="R783" s="2" t="s">
        <v>585</v>
      </c>
      <c r="S783" s="8">
        <f>B783+1</f>
        <v>41140</v>
      </c>
    </row>
    <row r="784" spans="1:19" x14ac:dyDescent="0.15">
      <c r="A784" s="1">
        <v>4195</v>
      </c>
      <c r="B784" s="6">
        <f>DATE(2012,12,31)-948</f>
        <v>40326</v>
      </c>
      <c r="C784" s="2" t="s">
        <v>915</v>
      </c>
      <c r="D784" s="1">
        <v>30</v>
      </c>
      <c r="E784" s="1">
        <v>255.74</v>
      </c>
      <c r="F784" s="1">
        <v>7.0000000000000007E-2</v>
      </c>
      <c r="G784" s="2" t="s">
        <v>560</v>
      </c>
      <c r="H784" s="10">
        <v>37.090000000000003</v>
      </c>
      <c r="I784" s="7">
        <v>8.5</v>
      </c>
      <c r="J784" s="7">
        <v>1.99</v>
      </c>
      <c r="K784" s="2" t="s">
        <v>866</v>
      </c>
      <c r="L784" s="16" t="s">
        <v>919</v>
      </c>
      <c r="M784" s="4" t="s">
        <v>563</v>
      </c>
      <c r="N784" s="2" t="s">
        <v>567</v>
      </c>
      <c r="O784" s="2" t="s">
        <v>569</v>
      </c>
      <c r="P784" s="2" t="s">
        <v>572</v>
      </c>
      <c r="Q784" s="1" t="s">
        <v>696</v>
      </c>
      <c r="R784" s="2" t="s">
        <v>587</v>
      </c>
      <c r="S784" s="8">
        <f>B784+2</f>
        <v>40328</v>
      </c>
    </row>
    <row r="785" spans="1:19" x14ac:dyDescent="0.15">
      <c r="A785" s="1">
        <v>4391</v>
      </c>
      <c r="B785" s="6">
        <f>DATE(2012,12,31)-318</f>
        <v>40956</v>
      </c>
      <c r="C785" s="2" t="s">
        <v>913</v>
      </c>
      <c r="D785" s="1">
        <v>20</v>
      </c>
      <c r="E785" s="1">
        <v>2592.4319999999998</v>
      </c>
      <c r="F785" s="1">
        <v>0.06</v>
      </c>
      <c r="G785" s="2" t="s">
        <v>560</v>
      </c>
      <c r="H785" s="10">
        <v>428.47199999999998</v>
      </c>
      <c r="I785" s="7">
        <v>155.99</v>
      </c>
      <c r="J785" s="7">
        <v>3.9</v>
      </c>
      <c r="K785" s="2" t="s">
        <v>784</v>
      </c>
      <c r="L785" s="16" t="s">
        <v>919</v>
      </c>
      <c r="M785" s="4" t="s">
        <v>563</v>
      </c>
      <c r="N785" s="2" t="s">
        <v>564</v>
      </c>
      <c r="O785" s="2" t="s">
        <v>569</v>
      </c>
      <c r="P785" s="2" t="s">
        <v>87</v>
      </c>
      <c r="Q785" s="1" t="s">
        <v>684</v>
      </c>
      <c r="R785" s="2" t="s">
        <v>585</v>
      </c>
      <c r="S785" s="8">
        <f>B785+2</f>
        <v>40958</v>
      </c>
    </row>
    <row r="786" spans="1:19" x14ac:dyDescent="0.15">
      <c r="A786" s="1">
        <v>4422</v>
      </c>
      <c r="B786" s="6">
        <f>DATE(2012,12,31)-590</f>
        <v>40684</v>
      </c>
      <c r="C786" s="2" t="s">
        <v>914</v>
      </c>
      <c r="D786" s="1">
        <v>12</v>
      </c>
      <c r="E786" s="1">
        <v>313.43</v>
      </c>
      <c r="F786" s="1">
        <v>0.02</v>
      </c>
      <c r="G786" s="2" t="s">
        <v>560</v>
      </c>
      <c r="H786" s="10">
        <v>104.03</v>
      </c>
      <c r="I786" s="7">
        <v>25.38</v>
      </c>
      <c r="J786" s="7">
        <v>8.99</v>
      </c>
      <c r="K786" s="2" t="s">
        <v>827</v>
      </c>
      <c r="L786" s="16" t="s">
        <v>919</v>
      </c>
      <c r="M786" s="4" t="s">
        <v>563</v>
      </c>
      <c r="N786" s="2" t="s">
        <v>566</v>
      </c>
      <c r="O786" s="2" t="s">
        <v>570</v>
      </c>
      <c r="P786" s="2" t="s">
        <v>579</v>
      </c>
      <c r="Q786" s="1" t="s">
        <v>77</v>
      </c>
      <c r="R786" s="2" t="s">
        <v>587</v>
      </c>
      <c r="S786" s="8">
        <f>B786+0</f>
        <v>40684</v>
      </c>
    </row>
    <row r="787" spans="1:19" x14ac:dyDescent="0.15">
      <c r="A787" s="1">
        <v>4422</v>
      </c>
      <c r="B787" s="6">
        <f>DATE(2012,12,31)-590</f>
        <v>40684</v>
      </c>
      <c r="C787" s="2" t="s">
        <v>914</v>
      </c>
      <c r="D787" s="1">
        <v>17</v>
      </c>
      <c r="E787" s="1">
        <v>390.11</v>
      </c>
      <c r="F787" s="1">
        <v>0.02</v>
      </c>
      <c r="G787" s="2" t="s">
        <v>560</v>
      </c>
      <c r="H787" s="10">
        <v>-19.920000000000002</v>
      </c>
      <c r="I787" s="7">
        <v>21.38</v>
      </c>
      <c r="J787" s="7">
        <v>8.99</v>
      </c>
      <c r="K787" s="2" t="s">
        <v>827</v>
      </c>
      <c r="L787" s="16" t="s">
        <v>919</v>
      </c>
      <c r="M787" s="4" t="s">
        <v>563</v>
      </c>
      <c r="N787" s="2" t="s">
        <v>566</v>
      </c>
      <c r="O787" s="2" t="s">
        <v>568</v>
      </c>
      <c r="P787" s="2" t="s">
        <v>571</v>
      </c>
      <c r="Q787" s="1" t="s">
        <v>127</v>
      </c>
      <c r="R787" s="2" t="s">
        <v>587</v>
      </c>
      <c r="S787" s="8">
        <f>B787+0</f>
        <v>40684</v>
      </c>
    </row>
    <row r="788" spans="1:19" x14ac:dyDescent="0.15">
      <c r="A788" s="1">
        <v>4741</v>
      </c>
      <c r="B788" s="6">
        <f>DATE(2012,12,31)-178</f>
        <v>41096</v>
      </c>
      <c r="C788" s="2" t="s">
        <v>915</v>
      </c>
      <c r="D788" s="1">
        <v>40</v>
      </c>
      <c r="E788" s="1">
        <v>342.97</v>
      </c>
      <c r="F788" s="1">
        <v>0.09</v>
      </c>
      <c r="G788" s="2" t="s">
        <v>560</v>
      </c>
      <c r="H788" s="10">
        <v>-131.63</v>
      </c>
      <c r="I788" s="7">
        <v>8.75</v>
      </c>
      <c r="J788" s="7">
        <v>8.5399999999999991</v>
      </c>
      <c r="K788" s="2" t="s">
        <v>847</v>
      </c>
      <c r="L788" s="16" t="s">
        <v>919</v>
      </c>
      <c r="M788" s="4" t="s">
        <v>563</v>
      </c>
      <c r="N788" s="2" t="s">
        <v>566</v>
      </c>
      <c r="O788" s="2" t="s">
        <v>570</v>
      </c>
      <c r="P788" s="2" t="s">
        <v>579</v>
      </c>
      <c r="Q788" s="1" t="s">
        <v>35</v>
      </c>
      <c r="R788" s="2" t="s">
        <v>587</v>
      </c>
      <c r="S788" s="8">
        <f>B788+1</f>
        <v>41097</v>
      </c>
    </row>
    <row r="789" spans="1:19" x14ac:dyDescent="0.15">
      <c r="A789" s="1">
        <v>4835</v>
      </c>
      <c r="B789" s="6">
        <f>DATE(2012,12,31)-1164</f>
        <v>40110</v>
      </c>
      <c r="C789" s="2" t="s">
        <v>917</v>
      </c>
      <c r="D789" s="1">
        <v>3</v>
      </c>
      <c r="E789" s="1">
        <v>9.4</v>
      </c>
      <c r="F789" s="1">
        <v>0.04</v>
      </c>
      <c r="G789" s="2" t="s">
        <v>560</v>
      </c>
      <c r="H789" s="10">
        <v>-7.6</v>
      </c>
      <c r="I789" s="7">
        <v>2.52</v>
      </c>
      <c r="J789" s="7">
        <v>1.92</v>
      </c>
      <c r="K789" s="2" t="s">
        <v>784</v>
      </c>
      <c r="L789" s="16" t="s">
        <v>919</v>
      </c>
      <c r="M789" s="4" t="s">
        <v>563</v>
      </c>
      <c r="N789" s="2" t="s">
        <v>564</v>
      </c>
      <c r="O789" s="2" t="s">
        <v>568</v>
      </c>
      <c r="P789" s="2" t="s">
        <v>89</v>
      </c>
      <c r="Q789" s="1" t="s">
        <v>48</v>
      </c>
      <c r="R789" s="2" t="s">
        <v>584</v>
      </c>
      <c r="S789" s="8">
        <f>B789+0</f>
        <v>40110</v>
      </c>
    </row>
    <row r="790" spans="1:19" x14ac:dyDescent="0.15">
      <c r="A790" s="1">
        <v>5095</v>
      </c>
      <c r="B790" s="6">
        <f>DATE(2012,12,31)-254</f>
        <v>41020</v>
      </c>
      <c r="C790" s="2" t="s">
        <v>913</v>
      </c>
      <c r="D790" s="1">
        <v>7</v>
      </c>
      <c r="E790" s="1">
        <v>786.67499999999995</v>
      </c>
      <c r="F790" s="1">
        <v>0.01</v>
      </c>
      <c r="G790" s="2" t="s">
        <v>560</v>
      </c>
      <c r="H790" s="10">
        <v>-315.029</v>
      </c>
      <c r="I790" s="7">
        <v>125.99</v>
      </c>
      <c r="J790" s="7">
        <v>8.8000000000000007</v>
      </c>
      <c r="K790" s="2" t="s">
        <v>764</v>
      </c>
      <c r="L790" s="16" t="s">
        <v>919</v>
      </c>
      <c r="M790" s="4" t="s">
        <v>563</v>
      </c>
      <c r="N790" s="2" t="s">
        <v>567</v>
      </c>
      <c r="O790" s="2" t="s">
        <v>569</v>
      </c>
      <c r="P790" s="2" t="s">
        <v>87</v>
      </c>
      <c r="Q790" s="1" t="s">
        <v>238</v>
      </c>
      <c r="R790" s="2" t="s">
        <v>585</v>
      </c>
      <c r="S790" s="8">
        <f>B790+1</f>
        <v>41021</v>
      </c>
    </row>
    <row r="791" spans="1:19" x14ac:dyDescent="0.15">
      <c r="A791" s="1">
        <v>5317</v>
      </c>
      <c r="B791" s="6">
        <f>DATE(2012,12,31)-1210</f>
        <v>40064</v>
      </c>
      <c r="C791" s="2" t="s">
        <v>916</v>
      </c>
      <c r="D791" s="1">
        <v>38</v>
      </c>
      <c r="E791" s="1">
        <v>212.57</v>
      </c>
      <c r="F791" s="1">
        <v>0.09</v>
      </c>
      <c r="G791" s="2" t="s">
        <v>561</v>
      </c>
      <c r="H791" s="10">
        <v>9.4860000000000007</v>
      </c>
      <c r="I791" s="7">
        <v>5.34</v>
      </c>
      <c r="J791" s="7">
        <v>2.99</v>
      </c>
      <c r="K791" s="2" t="s">
        <v>787</v>
      </c>
      <c r="L791" s="16" t="s">
        <v>919</v>
      </c>
      <c r="M791" s="4" t="s">
        <v>563</v>
      </c>
      <c r="N791" s="2" t="s">
        <v>565</v>
      </c>
      <c r="O791" s="2" t="s">
        <v>568</v>
      </c>
      <c r="P791" s="2" t="s">
        <v>88</v>
      </c>
      <c r="Q791" s="1" t="s">
        <v>193</v>
      </c>
      <c r="R791" s="2" t="s">
        <v>585</v>
      </c>
      <c r="S791" s="8">
        <f>B791+7</f>
        <v>40071</v>
      </c>
    </row>
    <row r="792" spans="1:19" x14ac:dyDescent="0.15">
      <c r="A792" s="1">
        <v>5317</v>
      </c>
      <c r="B792" s="6">
        <f>DATE(2012,12,31)-1210</f>
        <v>40064</v>
      </c>
      <c r="C792" s="2" t="s">
        <v>916</v>
      </c>
      <c r="D792" s="1">
        <v>10</v>
      </c>
      <c r="E792" s="1">
        <v>1469.48</v>
      </c>
      <c r="F792" s="1">
        <v>7.0000000000000007E-2</v>
      </c>
      <c r="G792" s="2" t="s">
        <v>562</v>
      </c>
      <c r="H792" s="10">
        <v>-263.64999999999998</v>
      </c>
      <c r="I792" s="7">
        <v>140.97999999999999</v>
      </c>
      <c r="J792" s="7">
        <v>53.48</v>
      </c>
      <c r="K792" s="2" t="s">
        <v>787</v>
      </c>
      <c r="L792" s="16" t="s">
        <v>919</v>
      </c>
      <c r="M792" s="4" t="s">
        <v>563</v>
      </c>
      <c r="N792" s="2" t="s">
        <v>565</v>
      </c>
      <c r="O792" s="2" t="s">
        <v>570</v>
      </c>
      <c r="P792" s="2" t="s">
        <v>581</v>
      </c>
      <c r="Q792" s="1" t="s">
        <v>689</v>
      </c>
      <c r="R792" s="2" t="s">
        <v>588</v>
      </c>
      <c r="S792" s="8">
        <f>B792+7</f>
        <v>40071</v>
      </c>
    </row>
    <row r="793" spans="1:19" x14ac:dyDescent="0.15">
      <c r="A793" s="1">
        <v>5317</v>
      </c>
      <c r="B793" s="6">
        <f>DATE(2012,12,31)-1210</f>
        <v>40064</v>
      </c>
      <c r="C793" s="2" t="s">
        <v>916</v>
      </c>
      <c r="D793" s="1">
        <v>25</v>
      </c>
      <c r="E793" s="1">
        <v>4279.24</v>
      </c>
      <c r="F793" s="1">
        <v>0.06</v>
      </c>
      <c r="G793" s="2" t="s">
        <v>560</v>
      </c>
      <c r="H793" s="10">
        <v>890.18100000000004</v>
      </c>
      <c r="I793" s="7">
        <v>205.99</v>
      </c>
      <c r="J793" s="7">
        <v>5.26</v>
      </c>
      <c r="K793" s="2" t="s">
        <v>787</v>
      </c>
      <c r="L793" s="16" t="s">
        <v>919</v>
      </c>
      <c r="M793" s="4" t="s">
        <v>563</v>
      </c>
      <c r="N793" s="2" t="s">
        <v>565</v>
      </c>
      <c r="O793" s="2" t="s">
        <v>569</v>
      </c>
      <c r="P793" s="2" t="s">
        <v>87</v>
      </c>
      <c r="Q793" s="1" t="s">
        <v>2</v>
      </c>
      <c r="R793" s="2" t="s">
        <v>585</v>
      </c>
      <c r="S793" s="8">
        <f>B793+7</f>
        <v>40071</v>
      </c>
    </row>
    <row r="794" spans="1:19" x14ac:dyDescent="0.15">
      <c r="A794" s="1">
        <v>5735</v>
      </c>
      <c r="B794" s="6">
        <f>DATE(2012,12,31)-1117</f>
        <v>40157</v>
      </c>
      <c r="C794" s="2" t="s">
        <v>914</v>
      </c>
      <c r="D794" s="1">
        <v>10</v>
      </c>
      <c r="E794" s="1">
        <v>2665.64</v>
      </c>
      <c r="F794" s="1">
        <v>0.1</v>
      </c>
      <c r="G794" s="2" t="s">
        <v>562</v>
      </c>
      <c r="H794" s="10">
        <v>-107.49</v>
      </c>
      <c r="I794" s="7">
        <v>280.98</v>
      </c>
      <c r="J794" s="7">
        <v>35.67</v>
      </c>
      <c r="K794" s="2" t="s">
        <v>885</v>
      </c>
      <c r="L794" s="16" t="s">
        <v>919</v>
      </c>
      <c r="M794" s="4" t="s">
        <v>563</v>
      </c>
      <c r="N794" s="2" t="s">
        <v>564</v>
      </c>
      <c r="O794" s="2" t="s">
        <v>570</v>
      </c>
      <c r="P794" s="2" t="s">
        <v>578</v>
      </c>
      <c r="Q794" s="1" t="s">
        <v>301</v>
      </c>
      <c r="R794" s="2" t="s">
        <v>588</v>
      </c>
      <c r="S794" s="8">
        <f>B794+1</f>
        <v>40158</v>
      </c>
    </row>
    <row r="795" spans="1:19" x14ac:dyDescent="0.15">
      <c r="A795" s="1">
        <v>5856</v>
      </c>
      <c r="B795" s="6">
        <f>DATE(2012,12,31)-1152</f>
        <v>40122</v>
      </c>
      <c r="C795" s="2" t="s">
        <v>913</v>
      </c>
      <c r="D795" s="1">
        <v>42</v>
      </c>
      <c r="E795" s="1">
        <v>10307.01</v>
      </c>
      <c r="F795" s="1">
        <v>0</v>
      </c>
      <c r="G795" s="2" t="s">
        <v>562</v>
      </c>
      <c r="H795" s="10">
        <v>3025.59</v>
      </c>
      <c r="I795" s="7">
        <v>230.98</v>
      </c>
      <c r="J795" s="7">
        <v>23.78</v>
      </c>
      <c r="K795" s="2" t="s">
        <v>787</v>
      </c>
      <c r="L795" s="16" t="s">
        <v>919</v>
      </c>
      <c r="M795" s="4" t="s">
        <v>563</v>
      </c>
      <c r="N795" s="2" t="s">
        <v>565</v>
      </c>
      <c r="O795" s="2" t="s">
        <v>570</v>
      </c>
      <c r="P795" s="2" t="s">
        <v>578</v>
      </c>
      <c r="Q795" s="1" t="s">
        <v>454</v>
      </c>
      <c r="R795" s="2" t="s">
        <v>588</v>
      </c>
      <c r="S795" s="8">
        <f>B795+2</f>
        <v>40124</v>
      </c>
    </row>
    <row r="796" spans="1:19" x14ac:dyDescent="0.15">
      <c r="A796" s="1">
        <v>5891</v>
      </c>
      <c r="B796" s="6">
        <f>DATE(2012,12,31)-3</f>
        <v>41271</v>
      </c>
      <c r="C796" s="2" t="s">
        <v>914</v>
      </c>
      <c r="D796" s="1">
        <v>2</v>
      </c>
      <c r="E796" s="1">
        <v>44.45</v>
      </c>
      <c r="F796" s="1">
        <v>0.01</v>
      </c>
      <c r="G796" s="2" t="s">
        <v>560</v>
      </c>
      <c r="H796" s="10">
        <v>-17.457000000000001</v>
      </c>
      <c r="I796" s="7">
        <v>20.98</v>
      </c>
      <c r="J796" s="7">
        <v>1.49</v>
      </c>
      <c r="K796" s="2" t="s">
        <v>885</v>
      </c>
      <c r="L796" s="16" t="s">
        <v>919</v>
      </c>
      <c r="M796" s="4" t="s">
        <v>563</v>
      </c>
      <c r="N796" s="2" t="s">
        <v>564</v>
      </c>
      <c r="O796" s="2" t="s">
        <v>568</v>
      </c>
      <c r="P796" s="2" t="s">
        <v>88</v>
      </c>
      <c r="Q796" s="1" t="s">
        <v>120</v>
      </c>
      <c r="R796" s="2" t="s">
        <v>585</v>
      </c>
      <c r="S796" s="8">
        <f>B796+2</f>
        <v>41273</v>
      </c>
    </row>
    <row r="797" spans="1:19" x14ac:dyDescent="0.15">
      <c r="A797" s="1">
        <v>6274</v>
      </c>
      <c r="B797" s="6">
        <f>DATE(2012,12,31)-536</f>
        <v>40738</v>
      </c>
      <c r="C797" s="2" t="s">
        <v>915</v>
      </c>
      <c r="D797" s="1">
        <v>22</v>
      </c>
      <c r="E797" s="1">
        <v>46.36</v>
      </c>
      <c r="F797" s="1">
        <v>0.05</v>
      </c>
      <c r="G797" s="2" t="s">
        <v>561</v>
      </c>
      <c r="H797" s="10">
        <v>-56.73</v>
      </c>
      <c r="I797" s="7">
        <v>1.74</v>
      </c>
      <c r="J797" s="7">
        <v>4.08</v>
      </c>
      <c r="K797" s="2" t="s">
        <v>784</v>
      </c>
      <c r="L797" s="16" t="s">
        <v>919</v>
      </c>
      <c r="M797" s="4" t="s">
        <v>563</v>
      </c>
      <c r="N797" s="2" t="s">
        <v>564</v>
      </c>
      <c r="O797" s="2" t="s">
        <v>570</v>
      </c>
      <c r="P797" s="2" t="s">
        <v>579</v>
      </c>
      <c r="Q797" s="1" t="s">
        <v>674</v>
      </c>
      <c r="R797" s="2" t="s">
        <v>587</v>
      </c>
      <c r="S797" s="8">
        <f>B797+1</f>
        <v>40739</v>
      </c>
    </row>
    <row r="798" spans="1:19" x14ac:dyDescent="0.15">
      <c r="A798" s="1">
        <v>6309</v>
      </c>
      <c r="B798" s="6">
        <f>DATE(2012,12,31)-936</f>
        <v>40338</v>
      </c>
      <c r="C798" s="2" t="s">
        <v>914</v>
      </c>
      <c r="D798" s="1">
        <v>10</v>
      </c>
      <c r="E798" s="1">
        <v>29.79</v>
      </c>
      <c r="F798" s="1">
        <v>0.01</v>
      </c>
      <c r="G798" s="2" t="s">
        <v>560</v>
      </c>
      <c r="H798" s="10">
        <v>3.76</v>
      </c>
      <c r="I798" s="7">
        <v>2.88</v>
      </c>
      <c r="J798" s="7">
        <v>0.99</v>
      </c>
      <c r="K798" s="2" t="s">
        <v>866</v>
      </c>
      <c r="L798" s="16" t="s">
        <v>919</v>
      </c>
      <c r="M798" s="4" t="s">
        <v>563</v>
      </c>
      <c r="N798" s="2" t="s">
        <v>567</v>
      </c>
      <c r="O798" s="2" t="s">
        <v>568</v>
      </c>
      <c r="P798" s="2" t="s">
        <v>582</v>
      </c>
      <c r="Q798" s="1" t="s">
        <v>361</v>
      </c>
      <c r="R798" s="2" t="s">
        <v>585</v>
      </c>
      <c r="S798" s="8">
        <f>B798+1</f>
        <v>40339</v>
      </c>
    </row>
    <row r="799" spans="1:19" x14ac:dyDescent="0.15">
      <c r="A799" s="1">
        <v>6368</v>
      </c>
      <c r="B799" s="6">
        <f>DATE(2012,12,31)-1408</f>
        <v>39866</v>
      </c>
      <c r="C799" s="2" t="s">
        <v>915</v>
      </c>
      <c r="D799" s="1">
        <v>40</v>
      </c>
      <c r="E799" s="1">
        <v>19100.45</v>
      </c>
      <c r="F799" s="1">
        <v>0</v>
      </c>
      <c r="G799" s="2" t="s">
        <v>562</v>
      </c>
      <c r="H799" s="10">
        <v>6839.95</v>
      </c>
      <c r="I799" s="7">
        <v>442.14</v>
      </c>
      <c r="J799" s="7">
        <v>14.7</v>
      </c>
      <c r="K799" s="2" t="s">
        <v>847</v>
      </c>
      <c r="L799" s="16" t="s">
        <v>919</v>
      </c>
      <c r="M799" s="4" t="s">
        <v>563</v>
      </c>
      <c r="N799" s="2" t="s">
        <v>567</v>
      </c>
      <c r="O799" s="2" t="s">
        <v>569</v>
      </c>
      <c r="P799" s="2" t="s">
        <v>583</v>
      </c>
      <c r="Q799" s="1" t="s">
        <v>378</v>
      </c>
      <c r="R799" s="2" t="s">
        <v>586</v>
      </c>
      <c r="S799" s="8">
        <f>B799+0</f>
        <v>39866</v>
      </c>
    </row>
    <row r="800" spans="1:19" x14ac:dyDescent="0.15">
      <c r="A800" s="1">
        <v>6978</v>
      </c>
      <c r="B800" s="6">
        <f>DATE(2012,12,31)-753</f>
        <v>40521</v>
      </c>
      <c r="C800" s="2" t="s">
        <v>913</v>
      </c>
      <c r="D800" s="1">
        <v>47</v>
      </c>
      <c r="E800" s="1">
        <v>371.95</v>
      </c>
      <c r="F800" s="1">
        <v>7.0000000000000007E-2</v>
      </c>
      <c r="G800" s="2" t="s">
        <v>560</v>
      </c>
      <c r="H800" s="10">
        <v>-87.4</v>
      </c>
      <c r="I800" s="7">
        <v>8.1199999999999992</v>
      </c>
      <c r="J800" s="7">
        <v>2.83</v>
      </c>
      <c r="K800" s="2" t="s">
        <v>885</v>
      </c>
      <c r="L800" s="16" t="s">
        <v>919</v>
      </c>
      <c r="M800" s="4" t="s">
        <v>563</v>
      </c>
      <c r="N800" s="2" t="s">
        <v>564</v>
      </c>
      <c r="O800" s="2" t="s">
        <v>569</v>
      </c>
      <c r="P800" s="2" t="s">
        <v>572</v>
      </c>
      <c r="Q800" s="1" t="s">
        <v>169</v>
      </c>
      <c r="R800" s="2" t="s">
        <v>587</v>
      </c>
      <c r="S800" s="8">
        <f>B800+1</f>
        <v>40522</v>
      </c>
    </row>
    <row r="801" spans="1:19" x14ac:dyDescent="0.15">
      <c r="A801" s="1">
        <v>7461</v>
      </c>
      <c r="B801" s="6">
        <f>DATE(2012,12,31)-1449</f>
        <v>39825</v>
      </c>
      <c r="C801" s="2" t="s">
        <v>916</v>
      </c>
      <c r="D801" s="1">
        <v>12</v>
      </c>
      <c r="E801" s="1">
        <v>4080.3</v>
      </c>
      <c r="F801" s="1">
        <v>0.05</v>
      </c>
      <c r="G801" s="2" t="s">
        <v>562</v>
      </c>
      <c r="H801" s="10">
        <v>593.79</v>
      </c>
      <c r="I801" s="7">
        <v>350.99</v>
      </c>
      <c r="J801" s="7">
        <v>39</v>
      </c>
      <c r="K801" s="2" t="s">
        <v>901</v>
      </c>
      <c r="L801" s="16" t="s">
        <v>919</v>
      </c>
      <c r="M801" s="4" t="s">
        <v>563</v>
      </c>
      <c r="N801" s="2" t="s">
        <v>564</v>
      </c>
      <c r="O801" s="2" t="s">
        <v>570</v>
      </c>
      <c r="P801" s="2" t="s">
        <v>574</v>
      </c>
      <c r="Q801" s="1" t="s">
        <v>429</v>
      </c>
      <c r="R801" s="2" t="s">
        <v>586</v>
      </c>
      <c r="S801" s="8">
        <f>B801+2</f>
        <v>39827</v>
      </c>
    </row>
    <row r="802" spans="1:19" x14ac:dyDescent="0.15">
      <c r="A802" s="1">
        <v>7461</v>
      </c>
      <c r="B802" s="6">
        <f>DATE(2012,12,31)-1449</f>
        <v>39825</v>
      </c>
      <c r="C802" s="2" t="s">
        <v>916</v>
      </c>
      <c r="D802" s="1">
        <v>28</v>
      </c>
      <c r="E802" s="1">
        <v>260.79000000000002</v>
      </c>
      <c r="F802" s="1">
        <v>0</v>
      </c>
      <c r="G802" s="2" t="s">
        <v>560</v>
      </c>
      <c r="H802" s="10">
        <v>111.4</v>
      </c>
      <c r="I802" s="7">
        <v>8.74</v>
      </c>
      <c r="J802" s="7">
        <v>1.39</v>
      </c>
      <c r="K802" s="2" t="s">
        <v>901</v>
      </c>
      <c r="L802" s="16" t="s">
        <v>919</v>
      </c>
      <c r="M802" s="4" t="s">
        <v>563</v>
      </c>
      <c r="N802" s="2" t="s">
        <v>564</v>
      </c>
      <c r="O802" s="2" t="s">
        <v>568</v>
      </c>
      <c r="P802" s="2" t="s">
        <v>575</v>
      </c>
      <c r="Q802" s="1" t="s">
        <v>477</v>
      </c>
      <c r="R802" s="2" t="s">
        <v>585</v>
      </c>
      <c r="S802" s="8">
        <f>B802+4</f>
        <v>39829</v>
      </c>
    </row>
    <row r="803" spans="1:19" x14ac:dyDescent="0.15">
      <c r="A803" s="1">
        <v>7461</v>
      </c>
      <c r="B803" s="6">
        <f>DATE(2012,12,31)-1449</f>
        <v>39825</v>
      </c>
      <c r="C803" s="2" t="s">
        <v>916</v>
      </c>
      <c r="D803" s="1">
        <v>44</v>
      </c>
      <c r="E803" s="1">
        <v>90.35</v>
      </c>
      <c r="F803" s="1">
        <v>0.02</v>
      </c>
      <c r="G803" s="2" t="s">
        <v>560</v>
      </c>
      <c r="H803" s="10">
        <v>-16.72</v>
      </c>
      <c r="I803" s="7">
        <v>1.98</v>
      </c>
      <c r="J803" s="7">
        <v>0.7</v>
      </c>
      <c r="K803" s="2" t="s">
        <v>901</v>
      </c>
      <c r="L803" s="16" t="s">
        <v>919</v>
      </c>
      <c r="M803" s="4" t="s">
        <v>563</v>
      </c>
      <c r="N803" s="2" t="s">
        <v>564</v>
      </c>
      <c r="O803" s="2" t="s">
        <v>568</v>
      </c>
      <c r="P803" s="2" t="s">
        <v>580</v>
      </c>
      <c r="Q803" s="1" t="s">
        <v>520</v>
      </c>
      <c r="R803" s="2" t="s">
        <v>584</v>
      </c>
      <c r="S803" s="8">
        <f>B803+4</f>
        <v>39829</v>
      </c>
    </row>
    <row r="804" spans="1:19" x14ac:dyDescent="0.15">
      <c r="A804" s="1">
        <v>9505</v>
      </c>
      <c r="B804" s="6">
        <f>DATE(2012,12,31)-207</f>
        <v>41067</v>
      </c>
      <c r="C804" s="2" t="s">
        <v>913</v>
      </c>
      <c r="D804" s="1">
        <v>2</v>
      </c>
      <c r="E804" s="1">
        <v>316.52</v>
      </c>
      <c r="F804" s="1">
        <v>0.03</v>
      </c>
      <c r="G804" s="2" t="s">
        <v>560</v>
      </c>
      <c r="H804" s="10">
        <v>-542.32000000000005</v>
      </c>
      <c r="I804" s="7">
        <v>152.47999999999999</v>
      </c>
      <c r="J804" s="7">
        <v>4</v>
      </c>
      <c r="K804" s="2" t="s">
        <v>871</v>
      </c>
      <c r="L804" s="16" t="s">
        <v>919</v>
      </c>
      <c r="M804" s="4" t="s">
        <v>563</v>
      </c>
      <c r="N804" s="2" t="s">
        <v>564</v>
      </c>
      <c r="O804" s="2" t="s">
        <v>569</v>
      </c>
      <c r="P804" s="2" t="s">
        <v>572</v>
      </c>
      <c r="Q804" s="1" t="s">
        <v>63</v>
      </c>
      <c r="R804" s="2" t="s">
        <v>585</v>
      </c>
      <c r="S804" s="8">
        <f>B804+2</f>
        <v>41069</v>
      </c>
    </row>
    <row r="805" spans="1:19" x14ac:dyDescent="0.15">
      <c r="A805" s="1">
        <v>9505</v>
      </c>
      <c r="B805" s="6">
        <f>DATE(2012,12,31)-207</f>
        <v>41067</v>
      </c>
      <c r="C805" s="2" t="s">
        <v>913</v>
      </c>
      <c r="D805" s="1">
        <v>5</v>
      </c>
      <c r="E805" s="1">
        <v>155.38999999999999</v>
      </c>
      <c r="F805" s="1">
        <v>0.1</v>
      </c>
      <c r="G805" s="2" t="s">
        <v>560</v>
      </c>
      <c r="H805" s="10">
        <v>-127.7</v>
      </c>
      <c r="I805" s="7">
        <v>32.979999999999997</v>
      </c>
      <c r="J805" s="7">
        <v>5.5</v>
      </c>
      <c r="K805" s="2" t="s">
        <v>871</v>
      </c>
      <c r="L805" s="16" t="s">
        <v>919</v>
      </c>
      <c r="M805" s="4" t="s">
        <v>563</v>
      </c>
      <c r="N805" s="2" t="s">
        <v>564</v>
      </c>
      <c r="O805" s="2" t="s">
        <v>569</v>
      </c>
      <c r="P805" s="2" t="s">
        <v>572</v>
      </c>
      <c r="Q805" s="1" t="s">
        <v>62</v>
      </c>
      <c r="R805" s="2" t="s">
        <v>585</v>
      </c>
      <c r="S805" s="8">
        <f>B805+3</f>
        <v>41070</v>
      </c>
    </row>
    <row r="806" spans="1:19" x14ac:dyDescent="0.15">
      <c r="A806" s="1">
        <v>9794</v>
      </c>
      <c r="B806" s="6">
        <f>DATE(2012,12,31)-282</f>
        <v>40992</v>
      </c>
      <c r="C806" s="2" t="s">
        <v>915</v>
      </c>
      <c r="D806" s="1">
        <v>25</v>
      </c>
      <c r="E806" s="1">
        <v>135.22999999999999</v>
      </c>
      <c r="F806" s="1">
        <v>0.1</v>
      </c>
      <c r="G806" s="2" t="s">
        <v>560</v>
      </c>
      <c r="H806" s="10">
        <v>-45.65</v>
      </c>
      <c r="I806" s="7">
        <v>5.68</v>
      </c>
      <c r="J806" s="7">
        <v>3.6</v>
      </c>
      <c r="K806" s="2" t="s">
        <v>827</v>
      </c>
      <c r="L806" s="16" t="s">
        <v>919</v>
      </c>
      <c r="M806" s="4" t="s">
        <v>563</v>
      </c>
      <c r="N806" s="2" t="s">
        <v>566</v>
      </c>
      <c r="O806" s="2" t="s">
        <v>568</v>
      </c>
      <c r="P806" s="2" t="s">
        <v>89</v>
      </c>
      <c r="Q806" s="1" t="s">
        <v>660</v>
      </c>
      <c r="R806" s="2" t="s">
        <v>587</v>
      </c>
      <c r="S806" s="8">
        <f>B806+1</f>
        <v>40993</v>
      </c>
    </row>
    <row r="807" spans="1:19" x14ac:dyDescent="0.15">
      <c r="A807" s="1">
        <v>10148</v>
      </c>
      <c r="B807" s="6">
        <f>DATE(2012,12,31)-1377</f>
        <v>39897</v>
      </c>
      <c r="C807" s="2" t="s">
        <v>916</v>
      </c>
      <c r="D807" s="1">
        <v>27</v>
      </c>
      <c r="E807" s="1">
        <v>14357.85</v>
      </c>
      <c r="F807" s="1">
        <v>0.02</v>
      </c>
      <c r="G807" s="2" t="s">
        <v>562</v>
      </c>
      <c r="H807" s="10">
        <v>3309.55</v>
      </c>
      <c r="I807" s="7">
        <v>500.98</v>
      </c>
      <c r="J807" s="7">
        <v>41.44</v>
      </c>
      <c r="K807" s="2" t="s">
        <v>787</v>
      </c>
      <c r="L807" s="16" t="s">
        <v>919</v>
      </c>
      <c r="M807" s="4" t="s">
        <v>563</v>
      </c>
      <c r="N807" s="2" t="s">
        <v>565</v>
      </c>
      <c r="O807" s="2" t="s">
        <v>570</v>
      </c>
      <c r="P807" s="2" t="s">
        <v>581</v>
      </c>
      <c r="Q807" s="1" t="s">
        <v>117</v>
      </c>
      <c r="R807" s="2" t="s">
        <v>588</v>
      </c>
      <c r="S807" s="8">
        <f>B807+0</f>
        <v>39897</v>
      </c>
    </row>
    <row r="808" spans="1:19" x14ac:dyDescent="0.15">
      <c r="A808" s="1">
        <v>11045</v>
      </c>
      <c r="B808" s="6">
        <f>DATE(2012,12,31)-281</f>
        <v>40993</v>
      </c>
      <c r="C808" s="2" t="s">
        <v>914</v>
      </c>
      <c r="D808" s="1">
        <v>35</v>
      </c>
      <c r="E808" s="1">
        <v>710.86</v>
      </c>
      <c r="F808" s="1">
        <v>0.04</v>
      </c>
      <c r="G808" s="2" t="s">
        <v>560</v>
      </c>
      <c r="H808" s="10">
        <v>196.22</v>
      </c>
      <c r="I808" s="7">
        <v>19.98</v>
      </c>
      <c r="J808" s="7">
        <v>5.97</v>
      </c>
      <c r="K808" s="2" t="s">
        <v>784</v>
      </c>
      <c r="L808" s="16" t="s">
        <v>919</v>
      </c>
      <c r="M808" s="4" t="s">
        <v>563</v>
      </c>
      <c r="N808" s="2" t="s">
        <v>564</v>
      </c>
      <c r="O808" s="2" t="s">
        <v>568</v>
      </c>
      <c r="P808" s="2" t="s">
        <v>573</v>
      </c>
      <c r="Q808" s="1" t="s">
        <v>659</v>
      </c>
      <c r="R808" s="2" t="s">
        <v>585</v>
      </c>
      <c r="S808" s="8">
        <f>B808+1</f>
        <v>40994</v>
      </c>
    </row>
    <row r="809" spans="1:19" x14ac:dyDescent="0.15">
      <c r="A809" s="1">
        <v>11074</v>
      </c>
      <c r="B809" s="6">
        <f>DATE(2012,12,31)-571</f>
        <v>40703</v>
      </c>
      <c r="C809" s="2" t="s">
        <v>913</v>
      </c>
      <c r="D809" s="1">
        <v>21</v>
      </c>
      <c r="E809" s="1">
        <v>114.53</v>
      </c>
      <c r="F809" s="1">
        <v>7.0000000000000007E-2</v>
      </c>
      <c r="G809" s="2" t="s">
        <v>560</v>
      </c>
      <c r="H809" s="10">
        <v>-39.229999999999997</v>
      </c>
      <c r="I809" s="7">
        <v>5.68</v>
      </c>
      <c r="J809" s="7">
        <v>3.6</v>
      </c>
      <c r="K809" s="2" t="s">
        <v>853</v>
      </c>
      <c r="L809" s="16" t="s">
        <v>919</v>
      </c>
      <c r="M809" s="4" t="s">
        <v>563</v>
      </c>
      <c r="N809" s="2" t="s">
        <v>567</v>
      </c>
      <c r="O809" s="2" t="s">
        <v>568</v>
      </c>
      <c r="P809" s="2" t="s">
        <v>89</v>
      </c>
      <c r="Q809" s="1" t="s">
        <v>660</v>
      </c>
      <c r="R809" s="2" t="s">
        <v>587</v>
      </c>
      <c r="S809" s="8">
        <f>B809+2</f>
        <v>40705</v>
      </c>
    </row>
    <row r="810" spans="1:19" x14ac:dyDescent="0.15">
      <c r="A810" s="1">
        <v>11074</v>
      </c>
      <c r="B810" s="6">
        <f>DATE(2012,12,31)-571</f>
        <v>40703</v>
      </c>
      <c r="C810" s="2" t="s">
        <v>913</v>
      </c>
      <c r="D810" s="1">
        <v>44</v>
      </c>
      <c r="E810" s="1">
        <v>7164.7435000000005</v>
      </c>
      <c r="F810" s="1">
        <v>7.0000000000000007E-2</v>
      </c>
      <c r="G810" s="2" t="s">
        <v>560</v>
      </c>
      <c r="H810" s="10">
        <v>1609.29</v>
      </c>
      <c r="I810" s="7">
        <v>205.99</v>
      </c>
      <c r="J810" s="7">
        <v>5.99</v>
      </c>
      <c r="K810" s="2" t="s">
        <v>853</v>
      </c>
      <c r="L810" s="16" t="s">
        <v>919</v>
      </c>
      <c r="M810" s="4" t="s">
        <v>563</v>
      </c>
      <c r="N810" s="2" t="s">
        <v>567</v>
      </c>
      <c r="O810" s="2" t="s">
        <v>569</v>
      </c>
      <c r="P810" s="2" t="s">
        <v>87</v>
      </c>
      <c r="Q810" s="1" t="s">
        <v>268</v>
      </c>
      <c r="R810" s="2" t="s">
        <v>585</v>
      </c>
      <c r="S810" s="8">
        <f>B810+1</f>
        <v>40704</v>
      </c>
    </row>
    <row r="811" spans="1:19" x14ac:dyDescent="0.15">
      <c r="A811" s="1">
        <v>12449</v>
      </c>
      <c r="B811" s="6">
        <f>DATE(2012,12,31)-1065</f>
        <v>40209</v>
      </c>
      <c r="C811" s="2" t="s">
        <v>914</v>
      </c>
      <c r="D811" s="1">
        <v>36</v>
      </c>
      <c r="E811" s="1">
        <v>1400.1</v>
      </c>
      <c r="F811" s="1">
        <v>0.03</v>
      </c>
      <c r="G811" s="2" t="s">
        <v>560</v>
      </c>
      <c r="H811" s="10">
        <v>88.68</v>
      </c>
      <c r="I811" s="7">
        <v>39.979999999999997</v>
      </c>
      <c r="J811" s="7">
        <v>4</v>
      </c>
      <c r="K811" s="2" t="s">
        <v>803</v>
      </c>
      <c r="L811" s="16" t="s">
        <v>919</v>
      </c>
      <c r="M811" s="4" t="s">
        <v>563</v>
      </c>
      <c r="N811" s="2" t="s">
        <v>565</v>
      </c>
      <c r="O811" s="2" t="s">
        <v>569</v>
      </c>
      <c r="P811" s="2" t="s">
        <v>572</v>
      </c>
      <c r="Q811" s="1" t="s">
        <v>161</v>
      </c>
      <c r="R811" s="2" t="s">
        <v>585</v>
      </c>
      <c r="S811" s="8">
        <f>B811+2</f>
        <v>40211</v>
      </c>
    </row>
    <row r="812" spans="1:19" x14ac:dyDescent="0.15">
      <c r="A812" s="1">
        <v>14661</v>
      </c>
      <c r="B812" s="6">
        <f>DATE(2012,12,31)-1072</f>
        <v>40202</v>
      </c>
      <c r="C812" s="2" t="s">
        <v>915</v>
      </c>
      <c r="D812" s="1">
        <v>38</v>
      </c>
      <c r="E812" s="1">
        <v>1325.06</v>
      </c>
      <c r="F812" s="1">
        <v>0.06</v>
      </c>
      <c r="G812" s="2" t="s">
        <v>560</v>
      </c>
      <c r="H812" s="10">
        <v>-180.23</v>
      </c>
      <c r="I812" s="7">
        <v>35.770000000000003</v>
      </c>
      <c r="J812" s="7">
        <v>9.02</v>
      </c>
      <c r="K812" s="2" t="s">
        <v>764</v>
      </c>
      <c r="L812" s="16" t="s">
        <v>919</v>
      </c>
      <c r="M812" s="4" t="s">
        <v>563</v>
      </c>
      <c r="N812" s="2" t="s">
        <v>564</v>
      </c>
      <c r="O812" s="2" t="s">
        <v>569</v>
      </c>
      <c r="P812" s="2" t="s">
        <v>572</v>
      </c>
      <c r="Q812" s="1" t="s">
        <v>66</v>
      </c>
      <c r="R812" s="2" t="s">
        <v>585</v>
      </c>
      <c r="S812" s="8">
        <f>B812+1</f>
        <v>40203</v>
      </c>
    </row>
    <row r="813" spans="1:19" x14ac:dyDescent="0.15">
      <c r="A813" s="1">
        <v>15303</v>
      </c>
      <c r="B813" s="6">
        <f>DATE(2012,12,31)-840</f>
        <v>40434</v>
      </c>
      <c r="C813" s="2" t="s">
        <v>917</v>
      </c>
      <c r="D813" s="1">
        <v>21</v>
      </c>
      <c r="E813" s="1">
        <v>101.13</v>
      </c>
      <c r="F813" s="1">
        <v>0.02</v>
      </c>
      <c r="G813" s="2" t="s">
        <v>560</v>
      </c>
      <c r="H813" s="10">
        <v>-74.405000000000001</v>
      </c>
      <c r="I813" s="7">
        <v>4.54</v>
      </c>
      <c r="J813" s="7">
        <v>5.83</v>
      </c>
      <c r="K813" s="2" t="s">
        <v>844</v>
      </c>
      <c r="L813" s="16" t="s">
        <v>919</v>
      </c>
      <c r="M813" s="4" t="s">
        <v>563</v>
      </c>
      <c r="N813" s="2" t="s">
        <v>564</v>
      </c>
      <c r="O813" s="2" t="s">
        <v>568</v>
      </c>
      <c r="P813" s="2" t="s">
        <v>88</v>
      </c>
      <c r="Q813" s="1" t="s">
        <v>499</v>
      </c>
      <c r="R813" s="2" t="s">
        <v>585</v>
      </c>
      <c r="S813" s="8">
        <f>B813+1</f>
        <v>40435</v>
      </c>
    </row>
    <row r="814" spans="1:19" x14ac:dyDescent="0.15">
      <c r="A814" s="1">
        <v>15303</v>
      </c>
      <c r="B814" s="6">
        <f>DATE(2012,12,31)-840</f>
        <v>40434</v>
      </c>
      <c r="C814" s="2" t="s">
        <v>917</v>
      </c>
      <c r="D814" s="1">
        <v>18</v>
      </c>
      <c r="E814" s="1">
        <v>526.45000000000005</v>
      </c>
      <c r="F814" s="1">
        <v>0.02</v>
      </c>
      <c r="G814" s="2" t="s">
        <v>560</v>
      </c>
      <c r="H814" s="10">
        <v>-108.14</v>
      </c>
      <c r="I814" s="7">
        <v>28.48</v>
      </c>
      <c r="J814" s="7">
        <v>8.99</v>
      </c>
      <c r="K814" s="2" t="s">
        <v>844</v>
      </c>
      <c r="L814" s="16" t="s">
        <v>919</v>
      </c>
      <c r="M814" s="4" t="s">
        <v>563</v>
      </c>
      <c r="N814" s="2" t="s">
        <v>564</v>
      </c>
      <c r="O814" s="2" t="s">
        <v>569</v>
      </c>
      <c r="P814" s="2" t="s">
        <v>572</v>
      </c>
      <c r="Q814" s="1" t="s">
        <v>3</v>
      </c>
      <c r="R814" s="2" t="s">
        <v>587</v>
      </c>
      <c r="S814" s="8">
        <f>B814+2</f>
        <v>40436</v>
      </c>
    </row>
    <row r="815" spans="1:19" x14ac:dyDescent="0.15">
      <c r="A815" s="1">
        <v>15622</v>
      </c>
      <c r="B815" s="6">
        <f>DATE(2012,12,31)-494</f>
        <v>40780</v>
      </c>
      <c r="C815" s="2" t="s">
        <v>913</v>
      </c>
      <c r="D815" s="1">
        <v>34</v>
      </c>
      <c r="E815" s="1">
        <v>8581.25</v>
      </c>
      <c r="F815" s="1">
        <v>0</v>
      </c>
      <c r="G815" s="2" t="s">
        <v>562</v>
      </c>
      <c r="H815" s="10">
        <v>1464.23</v>
      </c>
      <c r="I815" s="7">
        <v>240.98</v>
      </c>
      <c r="J815" s="7">
        <v>60.2</v>
      </c>
      <c r="K815" s="2" t="s">
        <v>845</v>
      </c>
      <c r="L815" s="16" t="s">
        <v>919</v>
      </c>
      <c r="M815" s="4" t="s">
        <v>563</v>
      </c>
      <c r="N815" s="2" t="s">
        <v>566</v>
      </c>
      <c r="O815" s="2" t="s">
        <v>570</v>
      </c>
      <c r="P815" s="2" t="s">
        <v>581</v>
      </c>
      <c r="Q815" s="1" t="s">
        <v>493</v>
      </c>
      <c r="R815" s="2" t="s">
        <v>588</v>
      </c>
      <c r="S815" s="8">
        <f>B815+1</f>
        <v>40781</v>
      </c>
    </row>
    <row r="816" spans="1:19" x14ac:dyDescent="0.15">
      <c r="A816" s="1">
        <v>15622</v>
      </c>
      <c r="B816" s="6">
        <f>DATE(2012,12,31)-494</f>
        <v>40780</v>
      </c>
      <c r="C816" s="2" t="s">
        <v>913</v>
      </c>
      <c r="D816" s="1">
        <v>21</v>
      </c>
      <c r="E816" s="1">
        <v>135.99</v>
      </c>
      <c r="F816" s="1">
        <v>0.09</v>
      </c>
      <c r="G816" s="2" t="s">
        <v>560</v>
      </c>
      <c r="H816" s="10">
        <v>-129.24</v>
      </c>
      <c r="I816" s="7">
        <v>6.48</v>
      </c>
      <c r="J816" s="7">
        <v>9.68</v>
      </c>
      <c r="K816" s="2" t="s">
        <v>845</v>
      </c>
      <c r="L816" s="16" t="s">
        <v>919</v>
      </c>
      <c r="M816" s="4" t="s">
        <v>563</v>
      </c>
      <c r="N816" s="2" t="s">
        <v>566</v>
      </c>
      <c r="O816" s="2" t="s">
        <v>568</v>
      </c>
      <c r="P816" s="2" t="s">
        <v>573</v>
      </c>
      <c r="Q816" s="1" t="s">
        <v>698</v>
      </c>
      <c r="R816" s="2" t="s">
        <v>585</v>
      </c>
      <c r="S816" s="8">
        <f>B816+1</f>
        <v>40781</v>
      </c>
    </row>
    <row r="817" spans="1:19" x14ac:dyDescent="0.15">
      <c r="A817" s="1">
        <v>15778</v>
      </c>
      <c r="B817" s="6">
        <f>DATE(2012,12,31)-970</f>
        <v>40304</v>
      </c>
      <c r="C817" s="2" t="s">
        <v>913</v>
      </c>
      <c r="D817" s="1">
        <v>9</v>
      </c>
      <c r="E817" s="1">
        <v>43.23</v>
      </c>
      <c r="F817" s="1">
        <v>0</v>
      </c>
      <c r="G817" s="2" t="s">
        <v>560</v>
      </c>
      <c r="H817" s="10">
        <v>-29.532</v>
      </c>
      <c r="I817" s="7">
        <v>3.98</v>
      </c>
      <c r="J817" s="7">
        <v>5.26</v>
      </c>
      <c r="K817" s="2" t="s">
        <v>859</v>
      </c>
      <c r="L817" s="16" t="s">
        <v>919</v>
      </c>
      <c r="M817" s="4" t="s">
        <v>563</v>
      </c>
      <c r="N817" s="2" t="s">
        <v>565</v>
      </c>
      <c r="O817" s="2" t="s">
        <v>568</v>
      </c>
      <c r="P817" s="2" t="s">
        <v>88</v>
      </c>
      <c r="Q817" s="1" t="s">
        <v>757</v>
      </c>
      <c r="R817" s="2" t="s">
        <v>585</v>
      </c>
      <c r="S817" s="8">
        <f>B817+2</f>
        <v>40306</v>
      </c>
    </row>
    <row r="818" spans="1:19" x14ac:dyDescent="0.15">
      <c r="A818" s="1">
        <v>16164</v>
      </c>
      <c r="B818" s="6">
        <f>DATE(2012,12,31)-363</f>
        <v>40911</v>
      </c>
      <c r="C818" s="2" t="s">
        <v>916</v>
      </c>
      <c r="D818" s="1">
        <v>22</v>
      </c>
      <c r="E818" s="1">
        <v>3353.54</v>
      </c>
      <c r="F818" s="1">
        <v>7.0000000000000007E-2</v>
      </c>
      <c r="G818" s="2" t="s">
        <v>560</v>
      </c>
      <c r="H818" s="10">
        <v>1189.96</v>
      </c>
      <c r="I818" s="7">
        <v>162.93</v>
      </c>
      <c r="J818" s="7">
        <v>19.989999999999998</v>
      </c>
      <c r="K818" s="2" t="s">
        <v>911</v>
      </c>
      <c r="L818" s="16" t="s">
        <v>919</v>
      </c>
      <c r="M818" s="4" t="s">
        <v>563</v>
      </c>
      <c r="N818" s="2" t="s">
        <v>564</v>
      </c>
      <c r="O818" s="2" t="s">
        <v>568</v>
      </c>
      <c r="P818" s="2" t="s">
        <v>575</v>
      </c>
      <c r="Q818" s="1" t="s">
        <v>647</v>
      </c>
      <c r="R818" s="2" t="s">
        <v>585</v>
      </c>
      <c r="S818" s="8">
        <f>B818+9</f>
        <v>40920</v>
      </c>
    </row>
    <row r="819" spans="1:19" x14ac:dyDescent="0.15">
      <c r="A819" s="1">
        <v>16164</v>
      </c>
      <c r="B819" s="6">
        <f>DATE(2012,12,31)-363</f>
        <v>40911</v>
      </c>
      <c r="C819" s="2" t="s">
        <v>916</v>
      </c>
      <c r="D819" s="1">
        <v>26</v>
      </c>
      <c r="E819" s="1">
        <v>69.38</v>
      </c>
      <c r="F819" s="1">
        <v>0.08</v>
      </c>
      <c r="G819" s="2" t="s">
        <v>560</v>
      </c>
      <c r="H819" s="10">
        <v>-70.73</v>
      </c>
      <c r="I819" s="7">
        <v>2.52</v>
      </c>
      <c r="J819" s="7">
        <v>4.28</v>
      </c>
      <c r="K819" s="2" t="s">
        <v>911</v>
      </c>
      <c r="L819" s="16" t="s">
        <v>919</v>
      </c>
      <c r="M819" s="4" t="s">
        <v>563</v>
      </c>
      <c r="N819" s="2" t="s">
        <v>564</v>
      </c>
      <c r="O819" s="2" t="s">
        <v>568</v>
      </c>
      <c r="P819" s="2" t="s">
        <v>571</v>
      </c>
      <c r="Q819" s="1" t="s">
        <v>646</v>
      </c>
      <c r="R819" s="2" t="s">
        <v>584</v>
      </c>
      <c r="S819" s="8">
        <f>B819+7</f>
        <v>40918</v>
      </c>
    </row>
    <row r="820" spans="1:19" x14ac:dyDescent="0.15">
      <c r="A820" s="1">
        <v>16166</v>
      </c>
      <c r="B820" s="6">
        <f>DATE(2012,12,31)-1065</f>
        <v>40209</v>
      </c>
      <c r="C820" s="2" t="s">
        <v>917</v>
      </c>
      <c r="D820" s="1">
        <v>36</v>
      </c>
      <c r="E820" s="1">
        <v>78.510000000000005</v>
      </c>
      <c r="F820" s="1">
        <v>0.09</v>
      </c>
      <c r="G820" s="2" t="s">
        <v>560</v>
      </c>
      <c r="H820" s="10">
        <v>-10.06</v>
      </c>
      <c r="I820" s="7">
        <v>2.1800000000000002</v>
      </c>
      <c r="J820" s="7">
        <v>1.38</v>
      </c>
      <c r="K820" s="2" t="s">
        <v>803</v>
      </c>
      <c r="L820" s="16" t="s">
        <v>919</v>
      </c>
      <c r="M820" s="4" t="s">
        <v>563</v>
      </c>
      <c r="N820" s="2" t="s">
        <v>565</v>
      </c>
      <c r="O820" s="2" t="s">
        <v>568</v>
      </c>
      <c r="P820" s="2" t="s">
        <v>580</v>
      </c>
      <c r="Q820" s="1" t="s">
        <v>106</v>
      </c>
      <c r="R820" s="2" t="s">
        <v>584</v>
      </c>
      <c r="S820" s="8">
        <f>B820+1</f>
        <v>40210</v>
      </c>
    </row>
    <row r="821" spans="1:19" x14ac:dyDescent="0.15">
      <c r="A821" s="1">
        <v>16768</v>
      </c>
      <c r="B821" s="6">
        <f>DATE(2012,12,31)-1255</f>
        <v>40019</v>
      </c>
      <c r="C821" s="2" t="s">
        <v>913</v>
      </c>
      <c r="D821" s="1">
        <v>9</v>
      </c>
      <c r="E821" s="1">
        <v>101.47</v>
      </c>
      <c r="F821" s="1">
        <v>0.03</v>
      </c>
      <c r="G821" s="2" t="s">
        <v>560</v>
      </c>
      <c r="H821" s="10">
        <v>-18.64</v>
      </c>
      <c r="I821" s="7">
        <v>10.89</v>
      </c>
      <c r="J821" s="7">
        <v>4.5</v>
      </c>
      <c r="K821" s="2" t="s">
        <v>796</v>
      </c>
      <c r="L821" s="16" t="s">
        <v>919</v>
      </c>
      <c r="M821" s="4" t="s">
        <v>563</v>
      </c>
      <c r="N821" s="2" t="s">
        <v>567</v>
      </c>
      <c r="O821" s="2" t="s">
        <v>568</v>
      </c>
      <c r="P821" s="2" t="s">
        <v>576</v>
      </c>
      <c r="Q821" s="1" t="s">
        <v>657</v>
      </c>
      <c r="R821" s="2" t="s">
        <v>585</v>
      </c>
      <c r="S821" s="8">
        <f>B821+1</f>
        <v>40020</v>
      </c>
    </row>
    <row r="822" spans="1:19" x14ac:dyDescent="0.15">
      <c r="A822" s="1">
        <v>17313</v>
      </c>
      <c r="B822" s="6">
        <f>DATE(2012,12,31)-1334</f>
        <v>39940</v>
      </c>
      <c r="C822" s="2" t="s">
        <v>913</v>
      </c>
      <c r="D822" s="1">
        <v>27</v>
      </c>
      <c r="E822" s="1">
        <v>130.49</v>
      </c>
      <c r="F822" s="1">
        <v>7.0000000000000007E-2</v>
      </c>
      <c r="G822" s="2" t="s">
        <v>561</v>
      </c>
      <c r="H822" s="10">
        <v>47.09</v>
      </c>
      <c r="I822" s="7">
        <v>4.76</v>
      </c>
      <c r="J822" s="7">
        <v>0.88</v>
      </c>
      <c r="K822" s="2" t="s">
        <v>827</v>
      </c>
      <c r="L822" s="16" t="s">
        <v>919</v>
      </c>
      <c r="M822" s="4" t="s">
        <v>563</v>
      </c>
      <c r="N822" s="2" t="s">
        <v>566</v>
      </c>
      <c r="O822" s="2" t="s">
        <v>568</v>
      </c>
      <c r="P822" s="2" t="s">
        <v>573</v>
      </c>
      <c r="Q822" s="1" t="s">
        <v>279</v>
      </c>
      <c r="R822" s="2" t="s">
        <v>584</v>
      </c>
      <c r="S822" s="8">
        <f>B822+2</f>
        <v>39942</v>
      </c>
    </row>
    <row r="823" spans="1:19" x14ac:dyDescent="0.15">
      <c r="A823" s="1">
        <v>17447</v>
      </c>
      <c r="B823" s="6">
        <f>DATE(2012,12,31)-227</f>
        <v>41047</v>
      </c>
      <c r="C823" s="2" t="s">
        <v>916</v>
      </c>
      <c r="D823" s="1">
        <v>42</v>
      </c>
      <c r="E823" s="1">
        <v>861.41</v>
      </c>
      <c r="F823" s="1">
        <v>0.01</v>
      </c>
      <c r="G823" s="2" t="s">
        <v>560</v>
      </c>
      <c r="H823" s="10">
        <v>128</v>
      </c>
      <c r="I823" s="7">
        <v>18.97</v>
      </c>
      <c r="J823" s="7">
        <v>9.5399999999999991</v>
      </c>
      <c r="K823" s="2" t="s">
        <v>876</v>
      </c>
      <c r="L823" s="16" t="s">
        <v>919</v>
      </c>
      <c r="M823" s="4" t="s">
        <v>563</v>
      </c>
      <c r="N823" s="2" t="s">
        <v>564</v>
      </c>
      <c r="O823" s="2" t="s">
        <v>568</v>
      </c>
      <c r="P823" s="2" t="s">
        <v>573</v>
      </c>
      <c r="Q823" s="1" t="s">
        <v>522</v>
      </c>
      <c r="R823" s="2" t="s">
        <v>585</v>
      </c>
      <c r="S823" s="8">
        <f>B823+2</f>
        <v>41049</v>
      </c>
    </row>
    <row r="824" spans="1:19" x14ac:dyDescent="0.15">
      <c r="A824" s="1">
        <v>18145</v>
      </c>
      <c r="B824" s="6">
        <f>DATE(2012,12,31)-849</f>
        <v>40425</v>
      </c>
      <c r="C824" s="2" t="s">
        <v>914</v>
      </c>
      <c r="D824" s="1">
        <v>21</v>
      </c>
      <c r="E824" s="1">
        <v>361.98</v>
      </c>
      <c r="F824" s="1">
        <v>0</v>
      </c>
      <c r="G824" s="2" t="s">
        <v>560</v>
      </c>
      <c r="H824" s="10">
        <v>-55.610399999999998</v>
      </c>
      <c r="I824" s="7">
        <v>15.99</v>
      </c>
      <c r="J824" s="7">
        <v>9.4</v>
      </c>
      <c r="K824" s="2" t="s">
        <v>764</v>
      </c>
      <c r="L824" s="16" t="s">
        <v>919</v>
      </c>
      <c r="M824" s="4" t="s">
        <v>563</v>
      </c>
      <c r="N824" s="2" t="s">
        <v>567</v>
      </c>
      <c r="O824" s="2" t="s">
        <v>569</v>
      </c>
      <c r="P824" s="2" t="s">
        <v>583</v>
      </c>
      <c r="Q824" s="1" t="s">
        <v>373</v>
      </c>
      <c r="R824" s="2" t="s">
        <v>585</v>
      </c>
      <c r="S824" s="8">
        <f>B824+1</f>
        <v>40426</v>
      </c>
    </row>
    <row r="825" spans="1:19" x14ac:dyDescent="0.15">
      <c r="A825" s="1">
        <v>18215</v>
      </c>
      <c r="B825" s="6">
        <f>DATE(2012,12,31)-834</f>
        <v>40440</v>
      </c>
      <c r="C825" s="2" t="s">
        <v>914</v>
      </c>
      <c r="D825" s="1">
        <v>29</v>
      </c>
      <c r="E825" s="1">
        <v>965.82</v>
      </c>
      <c r="F825" s="1">
        <v>0.09</v>
      </c>
      <c r="G825" s="2" t="s">
        <v>560</v>
      </c>
      <c r="H825" s="10">
        <v>169.15</v>
      </c>
      <c r="I825" s="7">
        <v>34.99</v>
      </c>
      <c r="J825" s="7">
        <v>5.5</v>
      </c>
      <c r="K825" s="2" t="s">
        <v>784</v>
      </c>
      <c r="L825" s="16" t="s">
        <v>919</v>
      </c>
      <c r="M825" s="4" t="s">
        <v>563</v>
      </c>
      <c r="N825" s="2" t="s">
        <v>564</v>
      </c>
      <c r="O825" s="2" t="s">
        <v>569</v>
      </c>
      <c r="P825" s="2" t="s">
        <v>572</v>
      </c>
      <c r="Q825" s="1" t="s">
        <v>423</v>
      </c>
      <c r="R825" s="2" t="s">
        <v>585</v>
      </c>
      <c r="S825" s="8">
        <f>B825+1</f>
        <v>40441</v>
      </c>
    </row>
    <row r="826" spans="1:19" x14ac:dyDescent="0.15">
      <c r="A826" s="1">
        <v>18598</v>
      </c>
      <c r="B826" s="6">
        <f>DATE(2012,12,31)-878</f>
        <v>40396</v>
      </c>
      <c r="C826" s="2" t="s">
        <v>917</v>
      </c>
      <c r="D826" s="1">
        <v>24</v>
      </c>
      <c r="E826" s="1">
        <v>349.65</v>
      </c>
      <c r="F826" s="1">
        <v>0.1</v>
      </c>
      <c r="G826" s="2" t="s">
        <v>561</v>
      </c>
      <c r="H826" s="10">
        <v>28.551500000000004</v>
      </c>
      <c r="I826" s="7">
        <v>14.48</v>
      </c>
      <c r="J826" s="7">
        <v>6.46</v>
      </c>
      <c r="K826" s="2" t="s">
        <v>844</v>
      </c>
      <c r="L826" s="16" t="s">
        <v>919</v>
      </c>
      <c r="M826" s="4" t="s">
        <v>563</v>
      </c>
      <c r="N826" s="2" t="s">
        <v>564</v>
      </c>
      <c r="O826" s="2" t="s">
        <v>568</v>
      </c>
      <c r="P826" s="2" t="s">
        <v>88</v>
      </c>
      <c r="Q826" s="1" t="s">
        <v>726</v>
      </c>
      <c r="R826" s="2" t="s">
        <v>585</v>
      </c>
      <c r="S826" s="8">
        <f>B826+3</f>
        <v>40399</v>
      </c>
    </row>
    <row r="827" spans="1:19" x14ac:dyDescent="0.15">
      <c r="A827" s="1">
        <v>18598</v>
      </c>
      <c r="B827" s="6">
        <f>DATE(2012,12,31)-878</f>
        <v>40396</v>
      </c>
      <c r="C827" s="2" t="s">
        <v>917</v>
      </c>
      <c r="D827" s="1">
        <v>46</v>
      </c>
      <c r="E827" s="1">
        <v>4814.12</v>
      </c>
      <c r="F827" s="1">
        <v>0.03</v>
      </c>
      <c r="G827" s="2" t="s">
        <v>560</v>
      </c>
      <c r="H827" s="10">
        <v>855.14</v>
      </c>
      <c r="I827" s="7">
        <v>102.3</v>
      </c>
      <c r="J827" s="7">
        <v>21.26</v>
      </c>
      <c r="K827" s="2" t="s">
        <v>844</v>
      </c>
      <c r="L827" s="16" t="s">
        <v>919</v>
      </c>
      <c r="M827" s="4" t="s">
        <v>563</v>
      </c>
      <c r="N827" s="2" t="s">
        <v>564</v>
      </c>
      <c r="O827" s="2" t="s">
        <v>570</v>
      </c>
      <c r="P827" s="2" t="s">
        <v>579</v>
      </c>
      <c r="Q827" s="1" t="s">
        <v>596</v>
      </c>
      <c r="R827" s="2" t="s">
        <v>590</v>
      </c>
      <c r="S827" s="8">
        <f>B827+2</f>
        <v>40398</v>
      </c>
    </row>
    <row r="828" spans="1:19" x14ac:dyDescent="0.15">
      <c r="A828" s="1">
        <v>19234</v>
      </c>
      <c r="B828" s="6">
        <f>DATE(2012,12,31)-1437</f>
        <v>39837</v>
      </c>
      <c r="C828" s="2" t="s">
        <v>913</v>
      </c>
      <c r="D828" s="1">
        <v>24</v>
      </c>
      <c r="E828" s="1">
        <v>359.65</v>
      </c>
      <c r="F828" s="1">
        <v>0.01</v>
      </c>
      <c r="G828" s="2" t="s">
        <v>560</v>
      </c>
      <c r="H828" s="10">
        <v>-11.15</v>
      </c>
      <c r="I828" s="7">
        <v>14.42</v>
      </c>
      <c r="J828" s="7">
        <v>6.75</v>
      </c>
      <c r="K828" s="2" t="s">
        <v>853</v>
      </c>
      <c r="L828" s="16" t="s">
        <v>919</v>
      </c>
      <c r="M828" s="4" t="s">
        <v>563</v>
      </c>
      <c r="N828" s="2" t="s">
        <v>567</v>
      </c>
      <c r="O828" s="2" t="s">
        <v>568</v>
      </c>
      <c r="P828" s="2" t="s">
        <v>576</v>
      </c>
      <c r="Q828" s="1" t="s">
        <v>450</v>
      </c>
      <c r="R828" s="2" t="s">
        <v>589</v>
      </c>
      <c r="S828" s="8">
        <f>B828+0</f>
        <v>39837</v>
      </c>
    </row>
    <row r="829" spans="1:19" x14ac:dyDescent="0.15">
      <c r="A829" s="1">
        <v>19555</v>
      </c>
      <c r="B829" s="6">
        <f>DATE(2012,12,31)-1054</f>
        <v>40220</v>
      </c>
      <c r="C829" s="2" t="s">
        <v>916</v>
      </c>
      <c r="D829" s="1">
        <v>36</v>
      </c>
      <c r="E829" s="1">
        <v>246.24</v>
      </c>
      <c r="F829" s="1">
        <v>0.08</v>
      </c>
      <c r="G829" s="2" t="s">
        <v>560</v>
      </c>
      <c r="H829" s="10">
        <v>-118.9</v>
      </c>
      <c r="I829" s="7">
        <v>6.68</v>
      </c>
      <c r="J829" s="7">
        <v>7.3</v>
      </c>
      <c r="K829" s="2" t="s">
        <v>876</v>
      </c>
      <c r="L829" s="16" t="s">
        <v>919</v>
      </c>
      <c r="M829" s="4" t="s">
        <v>563</v>
      </c>
      <c r="N829" s="2" t="s">
        <v>565</v>
      </c>
      <c r="O829" s="2" t="s">
        <v>568</v>
      </c>
      <c r="P829" s="2" t="s">
        <v>573</v>
      </c>
      <c r="Q829" s="1" t="s">
        <v>306</v>
      </c>
      <c r="R829" s="2" t="s">
        <v>585</v>
      </c>
      <c r="S829" s="8">
        <f>B829+4</f>
        <v>40224</v>
      </c>
    </row>
    <row r="830" spans="1:19" x14ac:dyDescent="0.15">
      <c r="A830" s="1">
        <v>19555</v>
      </c>
      <c r="B830" s="6">
        <f>DATE(2012,12,31)-1054</f>
        <v>40220</v>
      </c>
      <c r="C830" s="2" t="s">
        <v>916</v>
      </c>
      <c r="D830" s="1">
        <v>8</v>
      </c>
      <c r="E830" s="1">
        <v>78.67</v>
      </c>
      <c r="F830" s="1">
        <v>0</v>
      </c>
      <c r="G830" s="2" t="s">
        <v>560</v>
      </c>
      <c r="H830" s="10">
        <v>14.1</v>
      </c>
      <c r="I830" s="7">
        <v>9.11</v>
      </c>
      <c r="J830" s="7">
        <v>2.15</v>
      </c>
      <c r="K830" s="2" t="s">
        <v>876</v>
      </c>
      <c r="L830" s="16" t="s">
        <v>919</v>
      </c>
      <c r="M830" s="4" t="s">
        <v>563</v>
      </c>
      <c r="N830" s="2" t="s">
        <v>565</v>
      </c>
      <c r="O830" s="2" t="s">
        <v>568</v>
      </c>
      <c r="P830" s="2" t="s">
        <v>573</v>
      </c>
      <c r="Q830" s="1" t="s">
        <v>404</v>
      </c>
      <c r="R830" s="2" t="s">
        <v>584</v>
      </c>
      <c r="S830" s="8">
        <f>B830+7</f>
        <v>40227</v>
      </c>
    </row>
    <row r="831" spans="1:19" x14ac:dyDescent="0.15">
      <c r="A831" s="1">
        <v>19843</v>
      </c>
      <c r="B831" s="6">
        <f>DATE(2012,12,31)-886</f>
        <v>40388</v>
      </c>
      <c r="C831" s="2" t="s">
        <v>914</v>
      </c>
      <c r="D831" s="1">
        <v>33</v>
      </c>
      <c r="E831" s="1">
        <v>4416.6509999999998</v>
      </c>
      <c r="F831" s="1">
        <v>0.02</v>
      </c>
      <c r="G831" s="2" t="s">
        <v>560</v>
      </c>
      <c r="H831" s="10">
        <v>1020.4109999999999</v>
      </c>
      <c r="I831" s="7">
        <v>155.99</v>
      </c>
      <c r="J831" s="7">
        <v>8.99</v>
      </c>
      <c r="K831" s="2" t="s">
        <v>784</v>
      </c>
      <c r="L831" s="16" t="s">
        <v>919</v>
      </c>
      <c r="M831" s="4" t="s">
        <v>563</v>
      </c>
      <c r="N831" s="2" t="s">
        <v>564</v>
      </c>
      <c r="O831" s="2" t="s">
        <v>569</v>
      </c>
      <c r="P831" s="2" t="s">
        <v>87</v>
      </c>
      <c r="Q831" s="1" t="s">
        <v>346</v>
      </c>
      <c r="R831" s="2" t="s">
        <v>585</v>
      </c>
      <c r="S831" s="8">
        <f>B831+0</f>
        <v>40388</v>
      </c>
    </row>
    <row r="832" spans="1:19" x14ac:dyDescent="0.15">
      <c r="A832" s="1">
        <v>20646</v>
      </c>
      <c r="B832" s="6">
        <f>DATE(2012,12,31)-642</f>
        <v>40632</v>
      </c>
      <c r="C832" s="2" t="s">
        <v>914</v>
      </c>
      <c r="D832" s="1">
        <v>41</v>
      </c>
      <c r="E832" s="1">
        <v>1204.0844999999999</v>
      </c>
      <c r="F832" s="1">
        <v>0.04</v>
      </c>
      <c r="G832" s="2" t="s">
        <v>560</v>
      </c>
      <c r="H832" s="10">
        <v>341.95499999999998</v>
      </c>
      <c r="I832" s="7">
        <v>35.99</v>
      </c>
      <c r="J832" s="7">
        <v>1.1000000000000001</v>
      </c>
      <c r="K832" s="2" t="s">
        <v>764</v>
      </c>
      <c r="L832" s="16" t="s">
        <v>919</v>
      </c>
      <c r="M832" s="4" t="s">
        <v>563</v>
      </c>
      <c r="N832" s="2" t="s">
        <v>567</v>
      </c>
      <c r="O832" s="2" t="s">
        <v>569</v>
      </c>
      <c r="P832" s="2" t="s">
        <v>87</v>
      </c>
      <c r="Q832" s="1" t="s">
        <v>622</v>
      </c>
      <c r="R832" s="2" t="s">
        <v>585</v>
      </c>
      <c r="S832" s="8">
        <f>B832+2</f>
        <v>40634</v>
      </c>
    </row>
    <row r="833" spans="1:19" x14ac:dyDescent="0.15">
      <c r="A833" s="1">
        <v>21222</v>
      </c>
      <c r="B833" s="6">
        <f>DATE(2012,12,31)-1427</f>
        <v>39847</v>
      </c>
      <c r="C833" s="2" t="s">
        <v>915</v>
      </c>
      <c r="D833" s="1">
        <v>36</v>
      </c>
      <c r="E833" s="1">
        <v>181.39</v>
      </c>
      <c r="F833" s="1">
        <v>0.1</v>
      </c>
      <c r="G833" s="2" t="s">
        <v>560</v>
      </c>
      <c r="H833" s="10">
        <v>-32.4</v>
      </c>
      <c r="I833" s="7">
        <v>5.08</v>
      </c>
      <c r="J833" s="7">
        <v>3.63</v>
      </c>
      <c r="K833" s="2" t="s">
        <v>876</v>
      </c>
      <c r="L833" s="16" t="s">
        <v>919</v>
      </c>
      <c r="M833" s="4" t="s">
        <v>563</v>
      </c>
      <c r="N833" s="2" t="s">
        <v>564</v>
      </c>
      <c r="O833" s="2" t="s">
        <v>570</v>
      </c>
      <c r="P833" s="2" t="s">
        <v>579</v>
      </c>
      <c r="Q833" s="1" t="s">
        <v>395</v>
      </c>
      <c r="R833" s="2" t="s">
        <v>584</v>
      </c>
      <c r="S833" s="8">
        <f>B833+2</f>
        <v>39849</v>
      </c>
    </row>
    <row r="834" spans="1:19" x14ac:dyDescent="0.15">
      <c r="A834" s="1">
        <v>21222</v>
      </c>
      <c r="B834" s="6">
        <f>DATE(2012,12,31)-1427</f>
        <v>39847</v>
      </c>
      <c r="C834" s="2" t="s">
        <v>915</v>
      </c>
      <c r="D834" s="1">
        <v>26</v>
      </c>
      <c r="E834" s="1">
        <v>846.08150000000001</v>
      </c>
      <c r="F834" s="1">
        <v>0.02</v>
      </c>
      <c r="G834" s="2" t="s">
        <v>560</v>
      </c>
      <c r="H834" s="10">
        <v>-120.934</v>
      </c>
      <c r="I834" s="7">
        <v>35.99</v>
      </c>
      <c r="J834" s="7">
        <v>5</v>
      </c>
      <c r="K834" s="2" t="s">
        <v>876</v>
      </c>
      <c r="L834" s="16" t="s">
        <v>919</v>
      </c>
      <c r="M834" s="4" t="s">
        <v>563</v>
      </c>
      <c r="N834" s="2" t="s">
        <v>564</v>
      </c>
      <c r="O834" s="2" t="s">
        <v>569</v>
      </c>
      <c r="P834" s="2" t="s">
        <v>87</v>
      </c>
      <c r="Q834" s="1" t="s">
        <v>26</v>
      </c>
      <c r="R834" s="2" t="s">
        <v>585</v>
      </c>
      <c r="S834" s="8">
        <f>B834+2</f>
        <v>39849</v>
      </c>
    </row>
    <row r="835" spans="1:19" x14ac:dyDescent="0.15">
      <c r="A835" s="1">
        <v>22755</v>
      </c>
      <c r="B835" s="6">
        <f>DATE(2012,12,31)-1372</f>
        <v>39902</v>
      </c>
      <c r="C835" s="2" t="s">
        <v>914</v>
      </c>
      <c r="D835" s="1">
        <v>35</v>
      </c>
      <c r="E835" s="1">
        <v>187.84</v>
      </c>
      <c r="F835" s="1">
        <v>0</v>
      </c>
      <c r="G835" s="2" t="s">
        <v>560</v>
      </c>
      <c r="H835" s="10">
        <v>-95.047499999999999</v>
      </c>
      <c r="I835" s="7">
        <v>4.91</v>
      </c>
      <c r="J835" s="7">
        <v>5.68</v>
      </c>
      <c r="K835" s="2" t="s">
        <v>844</v>
      </c>
      <c r="L835" s="16" t="s">
        <v>919</v>
      </c>
      <c r="M835" s="4" t="s">
        <v>563</v>
      </c>
      <c r="N835" s="2" t="s">
        <v>564</v>
      </c>
      <c r="O835" s="2" t="s">
        <v>568</v>
      </c>
      <c r="P835" s="2" t="s">
        <v>88</v>
      </c>
      <c r="Q835" s="1" t="s">
        <v>302</v>
      </c>
      <c r="R835" s="2" t="s">
        <v>585</v>
      </c>
      <c r="S835" s="8">
        <f>B835+1</f>
        <v>39903</v>
      </c>
    </row>
    <row r="836" spans="1:19" x14ac:dyDescent="0.15">
      <c r="A836" s="1">
        <v>22755</v>
      </c>
      <c r="B836" s="6">
        <f>DATE(2012,12,31)-1372</f>
        <v>39902</v>
      </c>
      <c r="C836" s="2" t="s">
        <v>914</v>
      </c>
      <c r="D836" s="1">
        <v>45</v>
      </c>
      <c r="E836" s="1">
        <v>240.6</v>
      </c>
      <c r="F836" s="1">
        <v>0.04</v>
      </c>
      <c r="G836" s="2" t="s">
        <v>560</v>
      </c>
      <c r="H836" s="10">
        <v>3.4509999999999996</v>
      </c>
      <c r="I836" s="7">
        <v>5.34</v>
      </c>
      <c r="J836" s="7">
        <v>2.99</v>
      </c>
      <c r="K836" s="2" t="s">
        <v>844</v>
      </c>
      <c r="L836" s="16" t="s">
        <v>919</v>
      </c>
      <c r="M836" s="4" t="s">
        <v>563</v>
      </c>
      <c r="N836" s="2" t="s">
        <v>564</v>
      </c>
      <c r="O836" s="2" t="s">
        <v>568</v>
      </c>
      <c r="P836" s="2" t="s">
        <v>88</v>
      </c>
      <c r="Q836" s="1" t="s">
        <v>193</v>
      </c>
      <c r="R836" s="2" t="s">
        <v>585</v>
      </c>
      <c r="S836" s="8">
        <f>B836+2</f>
        <v>39904</v>
      </c>
    </row>
    <row r="837" spans="1:19" x14ac:dyDescent="0.15">
      <c r="A837" s="1">
        <v>22755</v>
      </c>
      <c r="B837" s="6">
        <f>DATE(2012,12,31)-1372</f>
        <v>39902</v>
      </c>
      <c r="C837" s="2" t="s">
        <v>914</v>
      </c>
      <c r="D837" s="1">
        <v>5</v>
      </c>
      <c r="E837" s="1">
        <v>236.87799999999999</v>
      </c>
      <c r="F837" s="1">
        <v>0.06</v>
      </c>
      <c r="G837" s="2" t="s">
        <v>560</v>
      </c>
      <c r="H837" s="10">
        <v>-275.25299999999999</v>
      </c>
      <c r="I837" s="7">
        <v>55.99</v>
      </c>
      <c r="J837" s="7">
        <v>5</v>
      </c>
      <c r="K837" s="2" t="s">
        <v>844</v>
      </c>
      <c r="L837" s="16" t="s">
        <v>919</v>
      </c>
      <c r="M837" s="4" t="s">
        <v>563</v>
      </c>
      <c r="N837" s="2" t="s">
        <v>564</v>
      </c>
      <c r="O837" s="2" t="s">
        <v>569</v>
      </c>
      <c r="P837" s="2" t="s">
        <v>87</v>
      </c>
      <c r="Q837" s="1" t="s">
        <v>159</v>
      </c>
      <c r="R837" s="2" t="s">
        <v>587</v>
      </c>
      <c r="S837" s="8">
        <f>B837+2</f>
        <v>39904</v>
      </c>
    </row>
    <row r="838" spans="1:19" x14ac:dyDescent="0.15">
      <c r="A838" s="1">
        <v>23136</v>
      </c>
      <c r="B838" s="6">
        <f>DATE(2012,12,31)-1193</f>
        <v>40081</v>
      </c>
      <c r="C838" s="2" t="s">
        <v>915</v>
      </c>
      <c r="D838" s="1">
        <v>41</v>
      </c>
      <c r="E838" s="1">
        <v>9312.52</v>
      </c>
      <c r="F838" s="1">
        <v>0.01</v>
      </c>
      <c r="G838" s="2" t="s">
        <v>560</v>
      </c>
      <c r="H838" s="10">
        <v>3039.37</v>
      </c>
      <c r="I838" s="7">
        <v>218.08</v>
      </c>
      <c r="J838" s="7">
        <v>18.059999999999999</v>
      </c>
      <c r="K838" s="2" t="s">
        <v>859</v>
      </c>
      <c r="L838" s="16" t="s">
        <v>919</v>
      </c>
      <c r="M838" s="4" t="s">
        <v>563</v>
      </c>
      <c r="N838" s="2" t="s">
        <v>565</v>
      </c>
      <c r="O838" s="2" t="s">
        <v>570</v>
      </c>
      <c r="P838" s="2" t="s">
        <v>574</v>
      </c>
      <c r="Q838" s="1" t="s">
        <v>644</v>
      </c>
      <c r="R838" s="2" t="s">
        <v>590</v>
      </c>
      <c r="S838" s="8">
        <f>B838+1</f>
        <v>40082</v>
      </c>
    </row>
    <row r="839" spans="1:19" x14ac:dyDescent="0.15">
      <c r="A839" s="1">
        <v>23136</v>
      </c>
      <c r="B839" s="6">
        <f>DATE(2012,12,31)-1193</f>
        <v>40081</v>
      </c>
      <c r="C839" s="2" t="s">
        <v>915</v>
      </c>
      <c r="D839" s="1">
        <v>43</v>
      </c>
      <c r="E839" s="1">
        <v>220.47</v>
      </c>
      <c r="F839" s="1">
        <v>0.04</v>
      </c>
      <c r="G839" s="2" t="s">
        <v>560</v>
      </c>
      <c r="H839" s="10">
        <v>-135.16</v>
      </c>
      <c r="I839" s="7">
        <v>4.9800000000000004</v>
      </c>
      <c r="J839" s="7">
        <v>4.62</v>
      </c>
      <c r="K839" s="2" t="s">
        <v>859</v>
      </c>
      <c r="L839" s="16" t="s">
        <v>919</v>
      </c>
      <c r="M839" s="4" t="s">
        <v>563</v>
      </c>
      <c r="N839" s="2" t="s">
        <v>565</v>
      </c>
      <c r="O839" s="2" t="s">
        <v>569</v>
      </c>
      <c r="P839" s="2" t="s">
        <v>572</v>
      </c>
      <c r="Q839" s="1" t="s">
        <v>418</v>
      </c>
      <c r="R839" s="2" t="s">
        <v>587</v>
      </c>
      <c r="S839" s="8">
        <f>B839+1</f>
        <v>40082</v>
      </c>
    </row>
    <row r="840" spans="1:19" x14ac:dyDescent="0.15">
      <c r="A840" s="1">
        <v>23685</v>
      </c>
      <c r="B840" s="6">
        <f>DATE(2012,12,31)-185</f>
        <v>41089</v>
      </c>
      <c r="C840" s="2" t="s">
        <v>915</v>
      </c>
      <c r="D840" s="1">
        <v>46</v>
      </c>
      <c r="E840" s="1">
        <v>7928.561999999999</v>
      </c>
      <c r="F840" s="1">
        <v>0.08</v>
      </c>
      <c r="G840" s="2" t="s">
        <v>560</v>
      </c>
      <c r="H840" s="10">
        <v>2229.48</v>
      </c>
      <c r="I840" s="7">
        <v>205.99</v>
      </c>
      <c r="J840" s="7">
        <v>5</v>
      </c>
      <c r="K840" s="2" t="s">
        <v>853</v>
      </c>
      <c r="L840" s="16" t="s">
        <v>919</v>
      </c>
      <c r="M840" s="4" t="s">
        <v>563</v>
      </c>
      <c r="N840" s="2" t="s">
        <v>567</v>
      </c>
      <c r="O840" s="2" t="s">
        <v>569</v>
      </c>
      <c r="P840" s="2" t="s">
        <v>87</v>
      </c>
      <c r="Q840" s="1" t="s">
        <v>180</v>
      </c>
      <c r="R840" s="2" t="s">
        <v>585</v>
      </c>
      <c r="S840" s="8">
        <f>B840+1</f>
        <v>41090</v>
      </c>
    </row>
    <row r="841" spans="1:19" x14ac:dyDescent="0.15">
      <c r="A841" s="1">
        <v>23745</v>
      </c>
      <c r="B841" s="6">
        <f>DATE(2012,12,31)-26</f>
        <v>41248</v>
      </c>
      <c r="C841" s="2" t="s">
        <v>916</v>
      </c>
      <c r="D841" s="1">
        <v>12</v>
      </c>
      <c r="E841" s="1">
        <v>715.8</v>
      </c>
      <c r="F841" s="1">
        <v>0.06</v>
      </c>
      <c r="G841" s="2" t="s">
        <v>560</v>
      </c>
      <c r="H841" s="10">
        <v>-279.12</v>
      </c>
      <c r="I841" s="7">
        <v>55.5</v>
      </c>
      <c r="J841" s="7">
        <v>52.2</v>
      </c>
      <c r="K841" s="2" t="s">
        <v>817</v>
      </c>
      <c r="L841" s="16" t="s">
        <v>919</v>
      </c>
      <c r="M841" s="4" t="s">
        <v>563</v>
      </c>
      <c r="N841" s="2" t="s">
        <v>567</v>
      </c>
      <c r="O841" s="2" t="s">
        <v>570</v>
      </c>
      <c r="P841" s="2" t="s">
        <v>579</v>
      </c>
      <c r="Q841" s="1" t="s">
        <v>545</v>
      </c>
      <c r="R841" s="2" t="s">
        <v>589</v>
      </c>
      <c r="S841" s="8">
        <f>B841+0</f>
        <v>41248</v>
      </c>
    </row>
    <row r="842" spans="1:19" x14ac:dyDescent="0.15">
      <c r="A842" s="1">
        <v>23745</v>
      </c>
      <c r="B842" s="6">
        <f>DATE(2012,12,31)-26</f>
        <v>41248</v>
      </c>
      <c r="C842" s="2" t="s">
        <v>916</v>
      </c>
      <c r="D842" s="1">
        <v>47</v>
      </c>
      <c r="E842" s="1">
        <v>10941.23</v>
      </c>
      <c r="F842" s="1">
        <v>0</v>
      </c>
      <c r="G842" s="2" t="s">
        <v>562</v>
      </c>
      <c r="H842" s="10">
        <v>1687.07</v>
      </c>
      <c r="I842" s="7">
        <v>227.55</v>
      </c>
      <c r="J842" s="7">
        <v>32.479999999999997</v>
      </c>
      <c r="K842" s="2" t="s">
        <v>817</v>
      </c>
      <c r="L842" s="16" t="s">
        <v>919</v>
      </c>
      <c r="M842" s="4" t="s">
        <v>563</v>
      </c>
      <c r="N842" s="2" t="s">
        <v>567</v>
      </c>
      <c r="O842" s="2" t="s">
        <v>570</v>
      </c>
      <c r="P842" s="2" t="s">
        <v>578</v>
      </c>
      <c r="Q842" s="1" t="s">
        <v>174</v>
      </c>
      <c r="R842" s="2" t="s">
        <v>588</v>
      </c>
      <c r="S842" s="8">
        <f>B842+4</f>
        <v>41252</v>
      </c>
    </row>
    <row r="843" spans="1:19" x14ac:dyDescent="0.15">
      <c r="A843" s="1">
        <v>25571</v>
      </c>
      <c r="B843" s="6">
        <f>DATE(2012,12,31)-135</f>
        <v>41139</v>
      </c>
      <c r="C843" s="2" t="s">
        <v>917</v>
      </c>
      <c r="D843" s="1">
        <v>42</v>
      </c>
      <c r="E843" s="1">
        <v>3749</v>
      </c>
      <c r="F843" s="1">
        <v>0.08</v>
      </c>
      <c r="G843" s="2" t="s">
        <v>560</v>
      </c>
      <c r="H843" s="10">
        <v>-1032.1300000000001</v>
      </c>
      <c r="I843" s="7">
        <v>89.83</v>
      </c>
      <c r="J843" s="7">
        <v>35</v>
      </c>
      <c r="K843" s="2" t="s">
        <v>845</v>
      </c>
      <c r="L843" s="16" t="s">
        <v>919</v>
      </c>
      <c r="M843" s="4" t="s">
        <v>563</v>
      </c>
      <c r="N843" s="2" t="s">
        <v>566</v>
      </c>
      <c r="O843" s="2" t="s">
        <v>568</v>
      </c>
      <c r="P843" s="2" t="s">
        <v>577</v>
      </c>
      <c r="Q843" s="1" t="s">
        <v>599</v>
      </c>
      <c r="R843" s="2" t="s">
        <v>590</v>
      </c>
      <c r="S843" s="8">
        <f>B843+2</f>
        <v>41141</v>
      </c>
    </row>
    <row r="844" spans="1:19" x14ac:dyDescent="0.15">
      <c r="A844" s="1">
        <v>26053</v>
      </c>
      <c r="B844" s="6">
        <f>DATE(2012,12,31)-342</f>
        <v>40932</v>
      </c>
      <c r="C844" s="2" t="s">
        <v>916</v>
      </c>
      <c r="D844" s="1">
        <v>48</v>
      </c>
      <c r="E844" s="1">
        <v>878.75</v>
      </c>
      <c r="F844" s="1">
        <v>7.0000000000000007E-2</v>
      </c>
      <c r="G844" s="2" t="s">
        <v>561</v>
      </c>
      <c r="H844" s="10">
        <v>70.459999999999994</v>
      </c>
      <c r="I844" s="7">
        <v>18.97</v>
      </c>
      <c r="J844" s="7">
        <v>9.0299999999999994</v>
      </c>
      <c r="K844" s="2" t="s">
        <v>853</v>
      </c>
      <c r="L844" s="16" t="s">
        <v>919</v>
      </c>
      <c r="M844" s="4" t="s">
        <v>563</v>
      </c>
      <c r="N844" s="2" t="s">
        <v>567</v>
      </c>
      <c r="O844" s="2" t="s">
        <v>568</v>
      </c>
      <c r="P844" s="2" t="s">
        <v>573</v>
      </c>
      <c r="Q844" s="1" t="s">
        <v>391</v>
      </c>
      <c r="R844" s="2" t="s">
        <v>585</v>
      </c>
      <c r="S844" s="8">
        <f>B844+0</f>
        <v>40932</v>
      </c>
    </row>
    <row r="845" spans="1:19" x14ac:dyDescent="0.15">
      <c r="A845" s="1">
        <v>26277</v>
      </c>
      <c r="B845" s="6">
        <f>DATE(2012,12,31)-553</f>
        <v>40721</v>
      </c>
      <c r="C845" s="2" t="s">
        <v>914</v>
      </c>
      <c r="D845" s="1">
        <v>17</v>
      </c>
      <c r="E845" s="1">
        <v>877.81</v>
      </c>
      <c r="F845" s="1">
        <v>0.02</v>
      </c>
      <c r="G845" s="2" t="s">
        <v>560</v>
      </c>
      <c r="H845" s="10">
        <v>-44.4</v>
      </c>
      <c r="I845" s="7">
        <v>49.99</v>
      </c>
      <c r="J845" s="7">
        <v>19.989999999999998</v>
      </c>
      <c r="K845" s="2" t="s">
        <v>866</v>
      </c>
      <c r="L845" s="16" t="s">
        <v>919</v>
      </c>
      <c r="M845" s="4" t="s">
        <v>563</v>
      </c>
      <c r="N845" s="2" t="s">
        <v>567</v>
      </c>
      <c r="O845" s="2" t="s">
        <v>569</v>
      </c>
      <c r="P845" s="2" t="s">
        <v>572</v>
      </c>
      <c r="Q845" s="1" t="s">
        <v>602</v>
      </c>
      <c r="R845" s="2" t="s">
        <v>585</v>
      </c>
      <c r="S845" s="8">
        <f>B845+1</f>
        <v>40722</v>
      </c>
    </row>
    <row r="846" spans="1:19" x14ac:dyDescent="0.15">
      <c r="A846" s="1">
        <v>26374</v>
      </c>
      <c r="B846" s="6">
        <f>DATE(2012,12,31)-1152</f>
        <v>40122</v>
      </c>
      <c r="C846" s="2" t="s">
        <v>915</v>
      </c>
      <c r="D846" s="1">
        <v>5</v>
      </c>
      <c r="E846" s="1">
        <v>90.941499999999991</v>
      </c>
      <c r="F846" s="1">
        <v>0.05</v>
      </c>
      <c r="G846" s="2" t="s">
        <v>560</v>
      </c>
      <c r="H846" s="10">
        <v>-109.417</v>
      </c>
      <c r="I846" s="7">
        <v>20.99</v>
      </c>
      <c r="J846" s="7">
        <v>3.3</v>
      </c>
      <c r="K846" s="2" t="s">
        <v>866</v>
      </c>
      <c r="L846" s="16" t="s">
        <v>919</v>
      </c>
      <c r="M846" s="4" t="s">
        <v>563</v>
      </c>
      <c r="N846" s="2" t="s">
        <v>567</v>
      </c>
      <c r="O846" s="2" t="s">
        <v>569</v>
      </c>
      <c r="P846" s="2" t="s">
        <v>87</v>
      </c>
      <c r="Q846" s="1" t="s">
        <v>58</v>
      </c>
      <c r="R846" s="2" t="s">
        <v>587</v>
      </c>
      <c r="S846" s="8">
        <f>B846+1</f>
        <v>40123</v>
      </c>
    </row>
    <row r="847" spans="1:19" x14ac:dyDescent="0.15">
      <c r="A847" s="1">
        <v>26944</v>
      </c>
      <c r="B847" s="6">
        <f>DATE(2012,12,31)-1150</f>
        <v>40124</v>
      </c>
      <c r="C847" s="2" t="s">
        <v>917</v>
      </c>
      <c r="D847" s="1">
        <v>6</v>
      </c>
      <c r="E847" s="1">
        <v>453.87</v>
      </c>
      <c r="F847" s="1">
        <v>0.02</v>
      </c>
      <c r="G847" s="2" t="s">
        <v>560</v>
      </c>
      <c r="H847" s="10">
        <v>-217.69</v>
      </c>
      <c r="I847" s="7">
        <v>73.98</v>
      </c>
      <c r="J847" s="7">
        <v>14.52</v>
      </c>
      <c r="K847" s="2" t="s">
        <v>911</v>
      </c>
      <c r="L847" s="16" t="s">
        <v>919</v>
      </c>
      <c r="M847" s="4" t="s">
        <v>563</v>
      </c>
      <c r="N847" s="2" t="s">
        <v>564</v>
      </c>
      <c r="O847" s="2" t="s">
        <v>569</v>
      </c>
      <c r="P847" s="2" t="s">
        <v>572</v>
      </c>
      <c r="Q847" s="1" t="s">
        <v>705</v>
      </c>
      <c r="R847" s="2" t="s">
        <v>585</v>
      </c>
      <c r="S847" s="8">
        <f>B847+3</f>
        <v>40127</v>
      </c>
    </row>
    <row r="848" spans="1:19" x14ac:dyDescent="0.15">
      <c r="A848" s="1">
        <v>27013</v>
      </c>
      <c r="B848" s="6">
        <f>DATE(2012,12,31)-1275</f>
        <v>39999</v>
      </c>
      <c r="C848" s="2" t="s">
        <v>916</v>
      </c>
      <c r="D848" s="1">
        <v>28</v>
      </c>
      <c r="E848" s="1">
        <v>2232.15</v>
      </c>
      <c r="F848" s="1">
        <v>0.05</v>
      </c>
      <c r="G848" s="2" t="s">
        <v>560</v>
      </c>
      <c r="H848" s="10">
        <v>-746.44</v>
      </c>
      <c r="I848" s="7">
        <v>80.98</v>
      </c>
      <c r="J848" s="7">
        <v>35</v>
      </c>
      <c r="K848" s="2" t="s">
        <v>844</v>
      </c>
      <c r="L848" s="16" t="s">
        <v>919</v>
      </c>
      <c r="M848" s="4" t="s">
        <v>563</v>
      </c>
      <c r="N848" s="2" t="s">
        <v>564</v>
      </c>
      <c r="O848" s="2" t="s">
        <v>568</v>
      </c>
      <c r="P848" s="2" t="s">
        <v>577</v>
      </c>
      <c r="Q848" s="1" t="s">
        <v>724</v>
      </c>
      <c r="R848" s="2" t="s">
        <v>590</v>
      </c>
      <c r="S848" s="8">
        <f>B848+4</f>
        <v>40003</v>
      </c>
    </row>
    <row r="849" spans="1:19" x14ac:dyDescent="0.15">
      <c r="A849" s="1">
        <v>27013</v>
      </c>
      <c r="B849" s="6">
        <f>DATE(2012,12,31)-1275</f>
        <v>39999</v>
      </c>
      <c r="C849" s="2" t="s">
        <v>916</v>
      </c>
      <c r="D849" s="1">
        <v>26</v>
      </c>
      <c r="E849" s="1">
        <v>7007.19</v>
      </c>
      <c r="F849" s="1">
        <v>0.05</v>
      </c>
      <c r="G849" s="2" t="s">
        <v>560</v>
      </c>
      <c r="H849" s="10">
        <v>-274.95</v>
      </c>
      <c r="I849" s="7">
        <v>279.48</v>
      </c>
      <c r="J849" s="7">
        <v>35</v>
      </c>
      <c r="K849" s="2" t="s">
        <v>844</v>
      </c>
      <c r="L849" s="16" t="s">
        <v>919</v>
      </c>
      <c r="M849" s="4" t="s">
        <v>563</v>
      </c>
      <c r="N849" s="2" t="s">
        <v>564</v>
      </c>
      <c r="O849" s="2" t="s">
        <v>568</v>
      </c>
      <c r="P849" s="2" t="s">
        <v>577</v>
      </c>
      <c r="Q849" s="1" t="s">
        <v>653</v>
      </c>
      <c r="R849" s="2" t="s">
        <v>590</v>
      </c>
      <c r="S849" s="8">
        <f>B849+0</f>
        <v>39999</v>
      </c>
    </row>
    <row r="850" spans="1:19" x14ac:dyDescent="0.15">
      <c r="A850" s="1">
        <v>27904</v>
      </c>
      <c r="B850" s="6">
        <f>DATE(2012,12,31)-485</f>
        <v>40789</v>
      </c>
      <c r="C850" s="2" t="s">
        <v>913</v>
      </c>
      <c r="D850" s="1">
        <v>8</v>
      </c>
      <c r="E850" s="1">
        <v>460.58949999999999</v>
      </c>
      <c r="F850" s="1">
        <v>0.02</v>
      </c>
      <c r="G850" s="2" t="s">
        <v>560</v>
      </c>
      <c r="H850" s="10">
        <v>-171.20399999999998</v>
      </c>
      <c r="I850" s="7">
        <v>65.989999999999995</v>
      </c>
      <c r="J850" s="7">
        <v>8.99</v>
      </c>
      <c r="K850" s="2" t="s">
        <v>847</v>
      </c>
      <c r="L850" s="16" t="s">
        <v>919</v>
      </c>
      <c r="M850" s="4" t="s">
        <v>563</v>
      </c>
      <c r="N850" s="2" t="s">
        <v>566</v>
      </c>
      <c r="O850" s="2" t="s">
        <v>569</v>
      </c>
      <c r="P850" s="2" t="s">
        <v>87</v>
      </c>
      <c r="Q850" s="1" t="s">
        <v>69</v>
      </c>
      <c r="R850" s="2" t="s">
        <v>585</v>
      </c>
      <c r="S850" s="8">
        <f>B850+1</f>
        <v>40790</v>
      </c>
    </row>
    <row r="851" spans="1:19" x14ac:dyDescent="0.15">
      <c r="A851" s="1">
        <v>27974</v>
      </c>
      <c r="B851" s="6">
        <f>DATE(2012,12,31)-816</f>
        <v>40458</v>
      </c>
      <c r="C851" s="2" t="s">
        <v>913</v>
      </c>
      <c r="D851" s="1">
        <v>31</v>
      </c>
      <c r="E851" s="1">
        <v>813.41</v>
      </c>
      <c r="F851" s="1">
        <v>0.09</v>
      </c>
      <c r="G851" s="2" t="s">
        <v>561</v>
      </c>
      <c r="H851" s="10">
        <v>284.64999999999998</v>
      </c>
      <c r="I851" s="7">
        <v>28.48</v>
      </c>
      <c r="J851" s="7">
        <v>1.99</v>
      </c>
      <c r="K851" s="2" t="s">
        <v>885</v>
      </c>
      <c r="L851" s="16" t="s">
        <v>919</v>
      </c>
      <c r="M851" s="4" t="s">
        <v>563</v>
      </c>
      <c r="N851" s="2" t="s">
        <v>564</v>
      </c>
      <c r="O851" s="2" t="s">
        <v>569</v>
      </c>
      <c r="P851" s="2" t="s">
        <v>572</v>
      </c>
      <c r="Q851" s="1" t="s">
        <v>9</v>
      </c>
      <c r="R851" s="2" t="s">
        <v>587</v>
      </c>
      <c r="S851" s="8">
        <f>B851+2</f>
        <v>40460</v>
      </c>
    </row>
    <row r="852" spans="1:19" x14ac:dyDescent="0.15">
      <c r="A852" s="1">
        <v>29767</v>
      </c>
      <c r="B852" s="6">
        <f>DATE(2012,12,31)-695</f>
        <v>40579</v>
      </c>
      <c r="C852" s="2" t="s">
        <v>913</v>
      </c>
      <c r="D852" s="1">
        <v>48</v>
      </c>
      <c r="E852" s="1">
        <v>4153.0600000000004</v>
      </c>
      <c r="F852" s="1">
        <v>0.06</v>
      </c>
      <c r="G852" s="2" t="s">
        <v>560</v>
      </c>
      <c r="H852" s="10">
        <v>1499.41</v>
      </c>
      <c r="I852" s="7">
        <v>90.24</v>
      </c>
      <c r="J852" s="7">
        <v>0.99</v>
      </c>
      <c r="K852" s="2" t="s">
        <v>911</v>
      </c>
      <c r="L852" s="16" t="s">
        <v>919</v>
      </c>
      <c r="M852" s="4" t="s">
        <v>563</v>
      </c>
      <c r="N852" s="2" t="s">
        <v>564</v>
      </c>
      <c r="O852" s="2" t="s">
        <v>568</v>
      </c>
      <c r="P852" s="2" t="s">
        <v>576</v>
      </c>
      <c r="Q852" s="1" t="s">
        <v>234</v>
      </c>
      <c r="R852" s="2" t="s">
        <v>585</v>
      </c>
      <c r="S852" s="8">
        <f>B852+1</f>
        <v>40580</v>
      </c>
    </row>
    <row r="853" spans="1:19" x14ac:dyDescent="0.15">
      <c r="A853" s="1">
        <v>29826</v>
      </c>
      <c r="B853" s="6">
        <f>DATE(2012,12,31)-1194</f>
        <v>40080</v>
      </c>
      <c r="C853" s="2" t="s">
        <v>917</v>
      </c>
      <c r="D853" s="1">
        <v>9</v>
      </c>
      <c r="E853" s="1">
        <v>157.63</v>
      </c>
      <c r="F853" s="1">
        <v>0.06</v>
      </c>
      <c r="G853" s="2" t="s">
        <v>560</v>
      </c>
      <c r="H853" s="10">
        <v>-78.13</v>
      </c>
      <c r="I853" s="7">
        <v>17.98</v>
      </c>
      <c r="J853" s="7">
        <v>4</v>
      </c>
      <c r="K853" s="2" t="s">
        <v>845</v>
      </c>
      <c r="L853" s="16" t="s">
        <v>919</v>
      </c>
      <c r="M853" s="4" t="s">
        <v>563</v>
      </c>
      <c r="N853" s="2" t="s">
        <v>566</v>
      </c>
      <c r="O853" s="2" t="s">
        <v>569</v>
      </c>
      <c r="P853" s="2" t="s">
        <v>572</v>
      </c>
      <c r="Q853" s="1" t="s">
        <v>636</v>
      </c>
      <c r="R853" s="2" t="s">
        <v>585</v>
      </c>
      <c r="S853" s="8">
        <f>B853+1</f>
        <v>40081</v>
      </c>
    </row>
    <row r="854" spans="1:19" x14ac:dyDescent="0.15">
      <c r="A854" s="1">
        <v>30566</v>
      </c>
      <c r="B854" s="6">
        <f>DATE(2012,12,31)-549</f>
        <v>40725</v>
      </c>
      <c r="C854" s="2" t="s">
        <v>916</v>
      </c>
      <c r="D854" s="1">
        <v>34</v>
      </c>
      <c r="E854" s="1">
        <v>225.45</v>
      </c>
      <c r="F854" s="1">
        <v>0.02</v>
      </c>
      <c r="G854" s="2" t="s">
        <v>560</v>
      </c>
      <c r="H854" s="10">
        <v>-193.39</v>
      </c>
      <c r="I854" s="7">
        <v>6.48</v>
      </c>
      <c r="J854" s="7">
        <v>9.5399999999999991</v>
      </c>
      <c r="K854" s="2" t="s">
        <v>859</v>
      </c>
      <c r="L854" s="16" t="s">
        <v>919</v>
      </c>
      <c r="M854" s="4" t="s">
        <v>563</v>
      </c>
      <c r="N854" s="2" t="s">
        <v>565</v>
      </c>
      <c r="O854" s="2" t="s">
        <v>568</v>
      </c>
      <c r="P854" s="2" t="s">
        <v>573</v>
      </c>
      <c r="Q854" s="1" t="s">
        <v>363</v>
      </c>
      <c r="R854" s="2" t="s">
        <v>585</v>
      </c>
      <c r="S854" s="8">
        <f>B854+2</f>
        <v>40727</v>
      </c>
    </row>
    <row r="855" spans="1:19" x14ac:dyDescent="0.15">
      <c r="A855" s="1">
        <v>30852</v>
      </c>
      <c r="B855" s="6">
        <f>DATE(2012,12,31)-1327</f>
        <v>39947</v>
      </c>
      <c r="C855" s="2" t="s">
        <v>917</v>
      </c>
      <c r="D855" s="1">
        <v>35</v>
      </c>
      <c r="E855" s="1">
        <v>2827.1424999999999</v>
      </c>
      <c r="F855" s="1">
        <v>0.01</v>
      </c>
      <c r="G855" s="2" t="s">
        <v>560</v>
      </c>
      <c r="H855" s="10">
        <v>713.88</v>
      </c>
      <c r="I855" s="7">
        <v>95.99</v>
      </c>
      <c r="J855" s="7">
        <v>4.9000000000000004</v>
      </c>
      <c r="K855" s="2" t="s">
        <v>796</v>
      </c>
      <c r="L855" s="16" t="s">
        <v>919</v>
      </c>
      <c r="M855" s="4" t="s">
        <v>563</v>
      </c>
      <c r="N855" s="2" t="s">
        <v>567</v>
      </c>
      <c r="O855" s="2" t="s">
        <v>569</v>
      </c>
      <c r="P855" s="2" t="s">
        <v>87</v>
      </c>
      <c r="Q855" s="1" t="s">
        <v>680</v>
      </c>
      <c r="R855" s="2" t="s">
        <v>585</v>
      </c>
      <c r="S855" s="8">
        <f>B855+1</f>
        <v>39948</v>
      </c>
    </row>
    <row r="856" spans="1:19" x14ac:dyDescent="0.15">
      <c r="A856" s="1">
        <v>31204</v>
      </c>
      <c r="B856" s="6">
        <f>DATE(2012,12,31)-863</f>
        <v>40411</v>
      </c>
      <c r="C856" s="2" t="s">
        <v>916</v>
      </c>
      <c r="D856" s="1">
        <v>14</v>
      </c>
      <c r="E856" s="1">
        <v>215.52</v>
      </c>
      <c r="F856" s="1">
        <v>0.02</v>
      </c>
      <c r="G856" s="2" t="s">
        <v>560</v>
      </c>
      <c r="H856" s="10">
        <v>75.83</v>
      </c>
      <c r="I856" s="7">
        <v>14.34</v>
      </c>
      <c r="J856" s="7">
        <v>5</v>
      </c>
      <c r="K856" s="2" t="s">
        <v>787</v>
      </c>
      <c r="L856" s="16" t="s">
        <v>919</v>
      </c>
      <c r="M856" s="4" t="s">
        <v>563</v>
      </c>
      <c r="N856" s="2" t="s">
        <v>565</v>
      </c>
      <c r="O856" s="2" t="s">
        <v>570</v>
      </c>
      <c r="P856" s="2" t="s">
        <v>579</v>
      </c>
      <c r="Q856" s="1" t="s">
        <v>745</v>
      </c>
      <c r="R856" s="2" t="s">
        <v>587</v>
      </c>
      <c r="S856" s="8">
        <f>B856+5</f>
        <v>40416</v>
      </c>
    </row>
    <row r="857" spans="1:19" x14ac:dyDescent="0.15">
      <c r="A857" s="1">
        <v>31204</v>
      </c>
      <c r="B857" s="6">
        <f>DATE(2012,12,31)-863</f>
        <v>40411</v>
      </c>
      <c r="C857" s="2" t="s">
        <v>916</v>
      </c>
      <c r="D857" s="1">
        <v>8</v>
      </c>
      <c r="E857" s="1">
        <v>10.46</v>
      </c>
      <c r="F857" s="1">
        <v>0</v>
      </c>
      <c r="G857" s="2" t="s">
        <v>560</v>
      </c>
      <c r="H857" s="10">
        <v>-0.89</v>
      </c>
      <c r="I857" s="7">
        <v>1.1399999999999999</v>
      </c>
      <c r="J857" s="7">
        <v>0.7</v>
      </c>
      <c r="K857" s="2" t="s">
        <v>787</v>
      </c>
      <c r="L857" s="16" t="s">
        <v>919</v>
      </c>
      <c r="M857" s="4" t="s">
        <v>563</v>
      </c>
      <c r="N857" s="2" t="s">
        <v>565</v>
      </c>
      <c r="O857" s="2" t="s">
        <v>568</v>
      </c>
      <c r="P857" s="2" t="s">
        <v>580</v>
      </c>
      <c r="Q857" s="1" t="s">
        <v>710</v>
      </c>
      <c r="R857" s="2" t="s">
        <v>584</v>
      </c>
      <c r="S857" s="8">
        <f>B857+0</f>
        <v>40411</v>
      </c>
    </row>
    <row r="858" spans="1:19" x14ac:dyDescent="0.15">
      <c r="A858" s="1">
        <v>32513</v>
      </c>
      <c r="B858" s="6">
        <f>DATE(2012,12,31)-333</f>
        <v>40941</v>
      </c>
      <c r="C858" s="2" t="s">
        <v>916</v>
      </c>
      <c r="D858" s="1">
        <v>23</v>
      </c>
      <c r="E858" s="1">
        <v>3982.21</v>
      </c>
      <c r="F858" s="1">
        <v>0.03</v>
      </c>
      <c r="G858" s="2" t="s">
        <v>560</v>
      </c>
      <c r="H858" s="10">
        <v>1413.941</v>
      </c>
      <c r="I858" s="7">
        <v>165.98</v>
      </c>
      <c r="J858" s="7">
        <v>19.989999999999998</v>
      </c>
      <c r="K858" s="2" t="s">
        <v>796</v>
      </c>
      <c r="L858" s="16" t="s">
        <v>919</v>
      </c>
      <c r="M858" s="4" t="s">
        <v>563</v>
      </c>
      <c r="N858" s="2" t="s">
        <v>567</v>
      </c>
      <c r="O858" s="2" t="s">
        <v>568</v>
      </c>
      <c r="P858" s="2" t="s">
        <v>88</v>
      </c>
      <c r="Q858" s="1" t="s">
        <v>667</v>
      </c>
      <c r="R858" s="2" t="s">
        <v>585</v>
      </c>
      <c r="S858" s="8">
        <f>B858+5</f>
        <v>40946</v>
      </c>
    </row>
    <row r="859" spans="1:19" x14ac:dyDescent="0.15">
      <c r="A859" s="1">
        <v>32513</v>
      </c>
      <c r="B859" s="6">
        <f>DATE(2012,12,31)-333</f>
        <v>40941</v>
      </c>
      <c r="C859" s="2" t="s">
        <v>916</v>
      </c>
      <c r="D859" s="1">
        <v>40</v>
      </c>
      <c r="E859" s="1">
        <v>66.55</v>
      </c>
      <c r="F859" s="1">
        <v>0.01</v>
      </c>
      <c r="G859" s="2" t="s">
        <v>560</v>
      </c>
      <c r="H859" s="10">
        <v>-15.13</v>
      </c>
      <c r="I859" s="7">
        <v>1.6</v>
      </c>
      <c r="J859" s="7">
        <v>1.29</v>
      </c>
      <c r="K859" s="2" t="s">
        <v>796</v>
      </c>
      <c r="L859" s="16" t="s">
        <v>919</v>
      </c>
      <c r="M859" s="4" t="s">
        <v>563</v>
      </c>
      <c r="N859" s="2" t="s">
        <v>567</v>
      </c>
      <c r="O859" s="2" t="s">
        <v>568</v>
      </c>
      <c r="P859" s="2" t="s">
        <v>571</v>
      </c>
      <c r="Q859" s="1" t="s">
        <v>45</v>
      </c>
      <c r="R859" s="2" t="s">
        <v>584</v>
      </c>
      <c r="S859" s="8">
        <f>B859+5</f>
        <v>40946</v>
      </c>
    </row>
    <row r="860" spans="1:19" x14ac:dyDescent="0.15">
      <c r="A860" s="1">
        <v>32641</v>
      </c>
      <c r="B860" s="6">
        <f>DATE(2012,12,31)-1016</f>
        <v>40258</v>
      </c>
      <c r="C860" s="2" t="s">
        <v>913</v>
      </c>
      <c r="D860" s="1">
        <v>18</v>
      </c>
      <c r="E860" s="1">
        <v>167.53</v>
      </c>
      <c r="F860" s="1">
        <v>0.05</v>
      </c>
      <c r="G860" s="2" t="s">
        <v>560</v>
      </c>
      <c r="H860" s="10">
        <v>-9.5679999999999996</v>
      </c>
      <c r="I860" s="7">
        <v>8.85</v>
      </c>
      <c r="J860" s="7">
        <v>5.6</v>
      </c>
      <c r="K860" s="2" t="s">
        <v>844</v>
      </c>
      <c r="L860" s="16" t="s">
        <v>919</v>
      </c>
      <c r="M860" s="4" t="s">
        <v>563</v>
      </c>
      <c r="N860" s="2" t="s">
        <v>564</v>
      </c>
      <c r="O860" s="2" t="s">
        <v>568</v>
      </c>
      <c r="P860" s="2" t="s">
        <v>88</v>
      </c>
      <c r="Q860" s="1" t="s">
        <v>293</v>
      </c>
      <c r="R860" s="2" t="s">
        <v>585</v>
      </c>
      <c r="S860" s="8">
        <f>B860+1</f>
        <v>40259</v>
      </c>
    </row>
    <row r="861" spans="1:19" x14ac:dyDescent="0.15">
      <c r="A861" s="1">
        <v>33729</v>
      </c>
      <c r="B861" s="6">
        <f>DATE(2012,12,31)-103</f>
        <v>41171</v>
      </c>
      <c r="C861" s="2" t="s">
        <v>915</v>
      </c>
      <c r="D861" s="1">
        <v>26</v>
      </c>
      <c r="E861" s="1">
        <v>6995.56</v>
      </c>
      <c r="F861" s="1">
        <v>7.0000000000000007E-2</v>
      </c>
      <c r="G861" s="2" t="s">
        <v>560</v>
      </c>
      <c r="H861" s="10">
        <v>-286.58</v>
      </c>
      <c r="I861" s="7">
        <v>279.48</v>
      </c>
      <c r="J861" s="7">
        <v>35</v>
      </c>
      <c r="K861" s="2" t="s">
        <v>803</v>
      </c>
      <c r="L861" s="16" t="s">
        <v>919</v>
      </c>
      <c r="M861" s="4" t="s">
        <v>563</v>
      </c>
      <c r="N861" s="2" t="s">
        <v>565</v>
      </c>
      <c r="O861" s="2" t="s">
        <v>568</v>
      </c>
      <c r="P861" s="2" t="s">
        <v>577</v>
      </c>
      <c r="Q861" s="1" t="s">
        <v>653</v>
      </c>
      <c r="R861" s="2" t="s">
        <v>590</v>
      </c>
      <c r="S861" s="8">
        <f>B861+1</f>
        <v>41172</v>
      </c>
    </row>
    <row r="862" spans="1:19" x14ac:dyDescent="0.15">
      <c r="A862" s="1">
        <v>34083</v>
      </c>
      <c r="B862" s="6">
        <f>DATE(2012,12,31)-330</f>
        <v>40944</v>
      </c>
      <c r="C862" s="2" t="s">
        <v>915</v>
      </c>
      <c r="D862" s="1">
        <v>29</v>
      </c>
      <c r="E862" s="1">
        <v>1415.1480000000001</v>
      </c>
      <c r="F862" s="1">
        <v>0.02</v>
      </c>
      <c r="G862" s="2" t="s">
        <v>561</v>
      </c>
      <c r="H862" s="10">
        <v>-64.944000000000003</v>
      </c>
      <c r="I862" s="7">
        <v>55.99</v>
      </c>
      <c r="J862" s="7">
        <v>5</v>
      </c>
      <c r="K862" s="2" t="s">
        <v>859</v>
      </c>
      <c r="L862" s="16" t="s">
        <v>919</v>
      </c>
      <c r="M862" s="4" t="s">
        <v>563</v>
      </c>
      <c r="N862" s="2" t="s">
        <v>565</v>
      </c>
      <c r="O862" s="2" t="s">
        <v>569</v>
      </c>
      <c r="P862" s="2" t="s">
        <v>87</v>
      </c>
      <c r="Q862" s="1" t="s">
        <v>159</v>
      </c>
      <c r="R862" s="2" t="s">
        <v>587</v>
      </c>
      <c r="S862" s="8">
        <f>B862+0</f>
        <v>40944</v>
      </c>
    </row>
    <row r="863" spans="1:19" x14ac:dyDescent="0.15">
      <c r="A863" s="1">
        <v>34275</v>
      </c>
      <c r="B863" s="6">
        <f>DATE(2012,12,31)-1279</f>
        <v>39995</v>
      </c>
      <c r="C863" s="2" t="s">
        <v>916</v>
      </c>
      <c r="D863" s="1">
        <v>3</v>
      </c>
      <c r="E863" s="1">
        <v>6041.01</v>
      </c>
      <c r="F863" s="1">
        <v>0.04</v>
      </c>
      <c r="G863" s="2" t="s">
        <v>562</v>
      </c>
      <c r="H863" s="10">
        <v>-4793.0039999999999</v>
      </c>
      <c r="I863" s="7">
        <v>2036.48</v>
      </c>
      <c r="J863" s="7">
        <v>14.7</v>
      </c>
      <c r="K863" s="2" t="s">
        <v>901</v>
      </c>
      <c r="L863" s="16" t="s">
        <v>919</v>
      </c>
      <c r="M863" s="4" t="s">
        <v>563</v>
      </c>
      <c r="N863" s="2" t="s">
        <v>565</v>
      </c>
      <c r="O863" s="2" t="s">
        <v>569</v>
      </c>
      <c r="P863" s="2" t="s">
        <v>583</v>
      </c>
      <c r="Q863" s="1" t="s">
        <v>255</v>
      </c>
      <c r="R863" s="2" t="s">
        <v>586</v>
      </c>
      <c r="S863" s="8">
        <f>B863+5</f>
        <v>40000</v>
      </c>
    </row>
    <row r="864" spans="1:19" x14ac:dyDescent="0.15">
      <c r="A864" s="1">
        <v>34532</v>
      </c>
      <c r="B864" s="6">
        <f>DATE(2012,12,31)-20</f>
        <v>41254</v>
      </c>
      <c r="C864" s="2" t="s">
        <v>916</v>
      </c>
      <c r="D864" s="1">
        <v>41</v>
      </c>
      <c r="E864" s="1">
        <v>1234.3599999999999</v>
      </c>
      <c r="F864" s="1">
        <v>0.04</v>
      </c>
      <c r="G864" s="2" t="s">
        <v>561</v>
      </c>
      <c r="H864" s="10">
        <v>-84.77</v>
      </c>
      <c r="I864" s="7">
        <v>30.98</v>
      </c>
      <c r="J864" s="7">
        <v>19.510000000000002</v>
      </c>
      <c r="K864" s="2" t="s">
        <v>876</v>
      </c>
      <c r="L864" s="16" t="s">
        <v>919</v>
      </c>
      <c r="M864" s="4" t="s">
        <v>563</v>
      </c>
      <c r="N864" s="2" t="s">
        <v>565</v>
      </c>
      <c r="O864" s="2" t="s">
        <v>568</v>
      </c>
      <c r="P864" s="2" t="s">
        <v>575</v>
      </c>
      <c r="Q864" s="1" t="s">
        <v>115</v>
      </c>
      <c r="R864" s="2" t="s">
        <v>585</v>
      </c>
      <c r="S864" s="8">
        <f>B864+7</f>
        <v>41261</v>
      </c>
    </row>
    <row r="865" spans="1:19" x14ac:dyDescent="0.15">
      <c r="A865" s="1">
        <v>35139</v>
      </c>
      <c r="B865" s="6">
        <f>DATE(2012,12,31)-1078</f>
        <v>40196</v>
      </c>
      <c r="C865" s="2" t="s">
        <v>913</v>
      </c>
      <c r="D865" s="1">
        <v>3</v>
      </c>
      <c r="E865" s="1">
        <v>10380.34</v>
      </c>
      <c r="F865" s="1">
        <v>0.05</v>
      </c>
      <c r="G865" s="2" t="s">
        <v>562</v>
      </c>
      <c r="H865" s="10">
        <v>-8389.4709000000003</v>
      </c>
      <c r="I865" s="7">
        <v>3502.14</v>
      </c>
      <c r="J865" s="7">
        <v>8.73</v>
      </c>
      <c r="K865" s="2" t="s">
        <v>764</v>
      </c>
      <c r="L865" s="16" t="s">
        <v>919</v>
      </c>
      <c r="M865" s="4" t="s">
        <v>563</v>
      </c>
      <c r="N865" s="2" t="s">
        <v>564</v>
      </c>
      <c r="O865" s="2" t="s">
        <v>569</v>
      </c>
      <c r="P865" s="2" t="s">
        <v>583</v>
      </c>
      <c r="Q865" s="1" t="s">
        <v>618</v>
      </c>
      <c r="R865" s="2" t="s">
        <v>588</v>
      </c>
      <c r="S865" s="8">
        <f>B865+1</f>
        <v>40197</v>
      </c>
    </row>
    <row r="866" spans="1:19" x14ac:dyDescent="0.15">
      <c r="A866" s="1">
        <v>35139</v>
      </c>
      <c r="B866" s="6">
        <f>DATE(2012,12,31)-1078</f>
        <v>40196</v>
      </c>
      <c r="C866" s="2" t="s">
        <v>913</v>
      </c>
      <c r="D866" s="1">
        <v>25</v>
      </c>
      <c r="E866" s="1">
        <v>854.9</v>
      </c>
      <c r="F866" s="1">
        <v>0.05</v>
      </c>
      <c r="G866" s="2" t="s">
        <v>560</v>
      </c>
      <c r="H866" s="10">
        <v>76.87</v>
      </c>
      <c r="I866" s="7">
        <v>34.58</v>
      </c>
      <c r="J866" s="7">
        <v>8.99</v>
      </c>
      <c r="K866" s="2" t="s">
        <v>764</v>
      </c>
      <c r="L866" s="16" t="s">
        <v>919</v>
      </c>
      <c r="M866" s="4" t="s">
        <v>563</v>
      </c>
      <c r="N866" s="2" t="s">
        <v>564</v>
      </c>
      <c r="O866" s="2" t="s">
        <v>568</v>
      </c>
      <c r="P866" s="2" t="s">
        <v>571</v>
      </c>
      <c r="Q866" s="1" t="s">
        <v>129</v>
      </c>
      <c r="R866" s="2" t="s">
        <v>587</v>
      </c>
      <c r="S866" s="8">
        <f>B866+2</f>
        <v>40198</v>
      </c>
    </row>
    <row r="867" spans="1:19" x14ac:dyDescent="0.15">
      <c r="A867" s="1">
        <v>35139</v>
      </c>
      <c r="B867" s="6">
        <f>DATE(2012,12,31)-1078</f>
        <v>40196</v>
      </c>
      <c r="C867" s="2" t="s">
        <v>913</v>
      </c>
      <c r="D867" s="1">
        <v>32</v>
      </c>
      <c r="E867" s="1">
        <v>389.98</v>
      </c>
      <c r="F867" s="1">
        <v>7.0000000000000007E-2</v>
      </c>
      <c r="G867" s="2" t="s">
        <v>560</v>
      </c>
      <c r="H867" s="10">
        <v>-14.98</v>
      </c>
      <c r="I867" s="7">
        <v>12.21</v>
      </c>
      <c r="J867" s="7">
        <v>4.8099999999999996</v>
      </c>
      <c r="K867" s="2" t="s">
        <v>764</v>
      </c>
      <c r="L867" s="16" t="s">
        <v>919</v>
      </c>
      <c r="M867" s="4" t="s">
        <v>563</v>
      </c>
      <c r="N867" s="2" t="s">
        <v>564</v>
      </c>
      <c r="O867" s="2" t="s">
        <v>568</v>
      </c>
      <c r="P867" s="2" t="s">
        <v>577</v>
      </c>
      <c r="Q867" s="1" t="s">
        <v>356</v>
      </c>
      <c r="R867" s="2" t="s">
        <v>585</v>
      </c>
      <c r="S867" s="8">
        <f>B867+2</f>
        <v>40198</v>
      </c>
    </row>
    <row r="868" spans="1:19" x14ac:dyDescent="0.15">
      <c r="A868" s="1">
        <v>35239</v>
      </c>
      <c r="B868" s="6">
        <f>DATE(2012,12,31)-415</f>
        <v>40859</v>
      </c>
      <c r="C868" s="2" t="s">
        <v>917</v>
      </c>
      <c r="D868" s="1">
        <v>21</v>
      </c>
      <c r="E868" s="1">
        <v>109.29</v>
      </c>
      <c r="F868" s="1">
        <v>0.08</v>
      </c>
      <c r="G868" s="2" t="s">
        <v>560</v>
      </c>
      <c r="H868" s="10">
        <v>-77.08</v>
      </c>
      <c r="I868" s="7">
        <v>5.28</v>
      </c>
      <c r="J868" s="7">
        <v>6.26</v>
      </c>
      <c r="K868" s="2" t="s">
        <v>859</v>
      </c>
      <c r="L868" s="16" t="s">
        <v>919</v>
      </c>
      <c r="M868" s="4" t="s">
        <v>563</v>
      </c>
      <c r="N868" s="2" t="s">
        <v>565</v>
      </c>
      <c r="O868" s="2" t="s">
        <v>568</v>
      </c>
      <c r="P868" s="2" t="s">
        <v>573</v>
      </c>
      <c r="Q868" s="1" t="s">
        <v>605</v>
      </c>
      <c r="R868" s="2" t="s">
        <v>585</v>
      </c>
      <c r="S868" s="8">
        <f>B868+1</f>
        <v>40860</v>
      </c>
    </row>
    <row r="869" spans="1:19" x14ac:dyDescent="0.15">
      <c r="A869" s="1">
        <v>35239</v>
      </c>
      <c r="B869" s="6">
        <f>DATE(2012,12,31)-415</f>
        <v>40859</v>
      </c>
      <c r="C869" s="2" t="s">
        <v>917</v>
      </c>
      <c r="D869" s="1">
        <v>38</v>
      </c>
      <c r="E869" s="1">
        <v>2257.88</v>
      </c>
      <c r="F869" s="1">
        <v>0.01</v>
      </c>
      <c r="G869" s="2" t="s">
        <v>560</v>
      </c>
      <c r="H869" s="10">
        <v>474.98</v>
      </c>
      <c r="I869" s="7">
        <v>59.76</v>
      </c>
      <c r="J869" s="7">
        <v>9.7100000000000009</v>
      </c>
      <c r="K869" s="2" t="s">
        <v>859</v>
      </c>
      <c r="L869" s="16" t="s">
        <v>919</v>
      </c>
      <c r="M869" s="4" t="s">
        <v>563</v>
      </c>
      <c r="N869" s="2" t="s">
        <v>565</v>
      </c>
      <c r="O869" s="2" t="s">
        <v>568</v>
      </c>
      <c r="P869" s="2" t="s">
        <v>577</v>
      </c>
      <c r="Q869" s="1" t="s">
        <v>664</v>
      </c>
      <c r="R869" s="2" t="s">
        <v>585</v>
      </c>
      <c r="S869" s="8">
        <f>B869+2</f>
        <v>40861</v>
      </c>
    </row>
    <row r="870" spans="1:19" x14ac:dyDescent="0.15">
      <c r="A870" s="1">
        <v>35875</v>
      </c>
      <c r="B870" s="6">
        <f>DATE(2012,12,31)-566</f>
        <v>40708</v>
      </c>
      <c r="C870" s="2" t="s">
        <v>913</v>
      </c>
      <c r="D870" s="1">
        <v>31</v>
      </c>
      <c r="E870" s="1">
        <v>348.92</v>
      </c>
      <c r="F870" s="1">
        <v>0.06</v>
      </c>
      <c r="G870" s="2" t="s">
        <v>560</v>
      </c>
      <c r="H870" s="10">
        <v>28.47</v>
      </c>
      <c r="I870" s="7">
        <v>10.98</v>
      </c>
      <c r="J870" s="7">
        <v>3.37</v>
      </c>
      <c r="K870" s="2" t="s">
        <v>853</v>
      </c>
      <c r="L870" s="16" t="s">
        <v>919</v>
      </c>
      <c r="M870" s="4" t="s">
        <v>563</v>
      </c>
      <c r="N870" s="2" t="s">
        <v>567</v>
      </c>
      <c r="O870" s="2" t="s">
        <v>568</v>
      </c>
      <c r="P870" s="2" t="s">
        <v>89</v>
      </c>
      <c r="Q870" s="1" t="s">
        <v>676</v>
      </c>
      <c r="R870" s="2" t="s">
        <v>587</v>
      </c>
      <c r="S870" s="8">
        <f>B870+0</f>
        <v>40708</v>
      </c>
    </row>
    <row r="871" spans="1:19" x14ac:dyDescent="0.15">
      <c r="A871" s="1">
        <v>37125</v>
      </c>
      <c r="B871" s="6">
        <f>DATE(2012,12,31)-1082</f>
        <v>40192</v>
      </c>
      <c r="C871" s="2" t="s">
        <v>913</v>
      </c>
      <c r="D871" s="1">
        <v>46</v>
      </c>
      <c r="E871" s="1">
        <v>72.180000000000007</v>
      </c>
      <c r="F871" s="1">
        <v>0</v>
      </c>
      <c r="G871" s="2" t="s">
        <v>560</v>
      </c>
      <c r="H871" s="10">
        <v>11.83</v>
      </c>
      <c r="I871" s="7">
        <v>1.48</v>
      </c>
      <c r="J871" s="7">
        <v>0.7</v>
      </c>
      <c r="K871" s="2" t="s">
        <v>768</v>
      </c>
      <c r="L871" s="16" t="s">
        <v>919</v>
      </c>
      <c r="M871" s="4" t="s">
        <v>563</v>
      </c>
      <c r="N871" s="2" t="s">
        <v>566</v>
      </c>
      <c r="O871" s="2" t="s">
        <v>568</v>
      </c>
      <c r="P871" s="2" t="s">
        <v>580</v>
      </c>
      <c r="Q871" s="1" t="s">
        <v>483</v>
      </c>
      <c r="R871" s="2" t="s">
        <v>584</v>
      </c>
      <c r="S871" s="8">
        <f>B871+1</f>
        <v>40193</v>
      </c>
    </row>
    <row r="872" spans="1:19" x14ac:dyDescent="0.15">
      <c r="A872" s="1">
        <v>37158</v>
      </c>
      <c r="B872" s="6">
        <f>DATE(2012,12,31)-100</f>
        <v>41174</v>
      </c>
      <c r="C872" s="2" t="s">
        <v>916</v>
      </c>
      <c r="D872" s="1">
        <v>25</v>
      </c>
      <c r="E872" s="1">
        <v>172.04</v>
      </c>
      <c r="F872" s="1">
        <v>0.05</v>
      </c>
      <c r="G872" s="2" t="s">
        <v>560</v>
      </c>
      <c r="H872" s="10">
        <v>-85.11</v>
      </c>
      <c r="I872" s="7">
        <v>6.48</v>
      </c>
      <c r="J872" s="7">
        <v>7.37</v>
      </c>
      <c r="K872" s="2" t="s">
        <v>847</v>
      </c>
      <c r="L872" s="16" t="s">
        <v>919</v>
      </c>
      <c r="M872" s="4" t="s">
        <v>563</v>
      </c>
      <c r="N872" s="2" t="s">
        <v>566</v>
      </c>
      <c r="O872" s="2" t="s">
        <v>568</v>
      </c>
      <c r="P872" s="2" t="s">
        <v>573</v>
      </c>
      <c r="Q872" s="1" t="s">
        <v>692</v>
      </c>
      <c r="R872" s="2" t="s">
        <v>585</v>
      </c>
      <c r="S872" s="8">
        <f>B872+5</f>
        <v>41179</v>
      </c>
    </row>
    <row r="873" spans="1:19" x14ac:dyDescent="0.15">
      <c r="A873" s="1">
        <v>37380</v>
      </c>
      <c r="B873" s="6">
        <f>DATE(2012,12,31)-640</f>
        <v>40634</v>
      </c>
      <c r="C873" s="2" t="s">
        <v>917</v>
      </c>
      <c r="D873" s="1">
        <v>29</v>
      </c>
      <c r="E873" s="1">
        <v>737.38</v>
      </c>
      <c r="F873" s="1">
        <v>0.08</v>
      </c>
      <c r="G873" s="2" t="s">
        <v>560</v>
      </c>
      <c r="H873" s="10">
        <v>90.04</v>
      </c>
      <c r="I873" s="7">
        <v>26.64</v>
      </c>
      <c r="J873" s="7">
        <v>5.3</v>
      </c>
      <c r="K873" s="2" t="s">
        <v>844</v>
      </c>
      <c r="L873" s="16" t="s">
        <v>919</v>
      </c>
      <c r="M873" s="4" t="s">
        <v>563</v>
      </c>
      <c r="N873" s="2" t="s">
        <v>564</v>
      </c>
      <c r="O873" s="2" t="s">
        <v>570</v>
      </c>
      <c r="P873" s="2" t="s">
        <v>574</v>
      </c>
      <c r="Q873" s="1" t="s">
        <v>348</v>
      </c>
      <c r="R873" s="2" t="s">
        <v>589</v>
      </c>
      <c r="S873" s="8">
        <f>B873+1</f>
        <v>40635</v>
      </c>
    </row>
    <row r="874" spans="1:19" x14ac:dyDescent="0.15">
      <c r="A874" s="1">
        <v>37380</v>
      </c>
      <c r="B874" s="6">
        <f>DATE(2012,12,31)-640</f>
        <v>40634</v>
      </c>
      <c r="C874" s="2" t="s">
        <v>917</v>
      </c>
      <c r="D874" s="1">
        <v>47</v>
      </c>
      <c r="E874" s="1">
        <v>507.18</v>
      </c>
      <c r="F874" s="1">
        <v>0</v>
      </c>
      <c r="G874" s="2" t="s">
        <v>560</v>
      </c>
      <c r="H874" s="10">
        <v>74.73</v>
      </c>
      <c r="I874" s="7">
        <v>9.99</v>
      </c>
      <c r="J874" s="7">
        <v>4.78</v>
      </c>
      <c r="K874" s="2" t="s">
        <v>844</v>
      </c>
      <c r="L874" s="16" t="s">
        <v>919</v>
      </c>
      <c r="M874" s="4" t="s">
        <v>563</v>
      </c>
      <c r="N874" s="2" t="s">
        <v>564</v>
      </c>
      <c r="O874" s="2" t="s">
        <v>568</v>
      </c>
      <c r="P874" s="2" t="s">
        <v>573</v>
      </c>
      <c r="Q874" s="1" t="s">
        <v>247</v>
      </c>
      <c r="R874" s="2" t="s">
        <v>585</v>
      </c>
      <c r="S874" s="8">
        <f>B874+1</f>
        <v>40635</v>
      </c>
    </row>
    <row r="875" spans="1:19" x14ac:dyDescent="0.15">
      <c r="A875" s="1">
        <v>37380</v>
      </c>
      <c r="B875" s="6">
        <f>DATE(2012,12,31)-640</f>
        <v>40634</v>
      </c>
      <c r="C875" s="2" t="s">
        <v>917</v>
      </c>
      <c r="D875" s="1">
        <v>42</v>
      </c>
      <c r="E875" s="1">
        <v>151.19</v>
      </c>
      <c r="F875" s="1">
        <v>7.0000000000000007E-2</v>
      </c>
      <c r="G875" s="2" t="s">
        <v>560</v>
      </c>
      <c r="H875" s="10">
        <v>27.37</v>
      </c>
      <c r="I875" s="7">
        <v>3.55</v>
      </c>
      <c r="J875" s="7">
        <v>1.43</v>
      </c>
      <c r="K875" s="2" t="s">
        <v>844</v>
      </c>
      <c r="L875" s="16" t="s">
        <v>919</v>
      </c>
      <c r="M875" s="4" t="s">
        <v>563</v>
      </c>
      <c r="N875" s="2" t="s">
        <v>564</v>
      </c>
      <c r="O875" s="2" t="s">
        <v>568</v>
      </c>
      <c r="P875" s="2" t="s">
        <v>580</v>
      </c>
      <c r="Q875" s="1" t="s">
        <v>593</v>
      </c>
      <c r="R875" s="2" t="s">
        <v>584</v>
      </c>
      <c r="S875" s="8">
        <f>B875+1</f>
        <v>40635</v>
      </c>
    </row>
    <row r="876" spans="1:19" x14ac:dyDescent="0.15">
      <c r="A876" s="1">
        <v>37445</v>
      </c>
      <c r="B876" s="6">
        <f>DATE(2012,12,31)-317</f>
        <v>40957</v>
      </c>
      <c r="C876" s="2" t="s">
        <v>913</v>
      </c>
      <c r="D876" s="1">
        <v>37</v>
      </c>
      <c r="E876" s="1">
        <v>2180.23</v>
      </c>
      <c r="F876" s="1">
        <v>0.05</v>
      </c>
      <c r="G876" s="2" t="s">
        <v>560</v>
      </c>
      <c r="H876" s="10">
        <v>660.25</v>
      </c>
      <c r="I876" s="7">
        <v>60.22</v>
      </c>
      <c r="J876" s="7">
        <v>3.5</v>
      </c>
      <c r="K876" s="2" t="s">
        <v>847</v>
      </c>
      <c r="L876" s="16" t="s">
        <v>919</v>
      </c>
      <c r="M876" s="4" t="s">
        <v>563</v>
      </c>
      <c r="N876" s="2" t="s">
        <v>567</v>
      </c>
      <c r="O876" s="2" t="s">
        <v>568</v>
      </c>
      <c r="P876" s="2" t="s">
        <v>576</v>
      </c>
      <c r="Q876" s="1" t="s">
        <v>250</v>
      </c>
      <c r="R876" s="2" t="s">
        <v>585</v>
      </c>
      <c r="S876" s="8">
        <f>B876+1</f>
        <v>40958</v>
      </c>
    </row>
    <row r="877" spans="1:19" x14ac:dyDescent="0.15">
      <c r="A877" s="1">
        <v>38212</v>
      </c>
      <c r="B877" s="6">
        <f>DATE(2012,12,31)-637</f>
        <v>40637</v>
      </c>
      <c r="C877" s="2" t="s">
        <v>914</v>
      </c>
      <c r="D877" s="1">
        <v>24</v>
      </c>
      <c r="E877" s="1">
        <v>123.75</v>
      </c>
      <c r="F877" s="1">
        <v>0.09</v>
      </c>
      <c r="G877" s="2" t="s">
        <v>561</v>
      </c>
      <c r="H877" s="10">
        <v>55.42</v>
      </c>
      <c r="I877" s="7">
        <v>4.9800000000000004</v>
      </c>
      <c r="J877" s="7">
        <v>0.49</v>
      </c>
      <c r="K877" s="2" t="s">
        <v>911</v>
      </c>
      <c r="L877" s="16" t="s">
        <v>919</v>
      </c>
      <c r="M877" s="4" t="s">
        <v>563</v>
      </c>
      <c r="N877" s="2" t="s">
        <v>564</v>
      </c>
      <c r="O877" s="2" t="s">
        <v>568</v>
      </c>
      <c r="P877" s="2" t="s">
        <v>582</v>
      </c>
      <c r="Q877" s="1" t="s">
        <v>264</v>
      </c>
      <c r="R877" s="2" t="s">
        <v>585</v>
      </c>
      <c r="S877" s="8">
        <f>B877+1</f>
        <v>40638</v>
      </c>
    </row>
    <row r="878" spans="1:19" x14ac:dyDescent="0.15">
      <c r="A878" s="1">
        <v>38212</v>
      </c>
      <c r="B878" s="6">
        <f>DATE(2012,12,31)-637</f>
        <v>40637</v>
      </c>
      <c r="C878" s="2" t="s">
        <v>914</v>
      </c>
      <c r="D878" s="1">
        <v>46</v>
      </c>
      <c r="E878" s="1">
        <v>3533.97</v>
      </c>
      <c r="F878" s="1">
        <v>7.0000000000000007E-2</v>
      </c>
      <c r="G878" s="2" t="s">
        <v>560</v>
      </c>
      <c r="H878" s="10">
        <v>-1329.81</v>
      </c>
      <c r="I878" s="7">
        <v>80.98</v>
      </c>
      <c r="J878" s="7">
        <v>35</v>
      </c>
      <c r="K878" s="2" t="s">
        <v>911</v>
      </c>
      <c r="L878" s="16" t="s">
        <v>919</v>
      </c>
      <c r="M878" s="4" t="s">
        <v>563</v>
      </c>
      <c r="N878" s="2" t="s">
        <v>564</v>
      </c>
      <c r="O878" s="2" t="s">
        <v>568</v>
      </c>
      <c r="P878" s="2" t="s">
        <v>577</v>
      </c>
      <c r="Q878" s="1" t="s">
        <v>558</v>
      </c>
      <c r="R878" s="2" t="s">
        <v>590</v>
      </c>
      <c r="S878" s="8">
        <f>B878+2</f>
        <v>40639</v>
      </c>
    </row>
    <row r="879" spans="1:19" x14ac:dyDescent="0.15">
      <c r="A879" s="1">
        <v>38212</v>
      </c>
      <c r="B879" s="6">
        <f>DATE(2012,12,31)-637</f>
        <v>40637</v>
      </c>
      <c r="C879" s="2" t="s">
        <v>914</v>
      </c>
      <c r="D879" s="1">
        <v>38</v>
      </c>
      <c r="E879" s="1">
        <v>3821.4045000000001</v>
      </c>
      <c r="F879" s="1">
        <v>0</v>
      </c>
      <c r="G879" s="2" t="s">
        <v>560</v>
      </c>
      <c r="H879" s="10">
        <v>1256.9670000000001</v>
      </c>
      <c r="I879" s="7">
        <v>115.99</v>
      </c>
      <c r="J879" s="7">
        <v>2.5</v>
      </c>
      <c r="K879" s="2" t="s">
        <v>911</v>
      </c>
      <c r="L879" s="16" t="s">
        <v>919</v>
      </c>
      <c r="M879" s="4" t="s">
        <v>563</v>
      </c>
      <c r="N879" s="2" t="s">
        <v>564</v>
      </c>
      <c r="O879" s="2" t="s">
        <v>569</v>
      </c>
      <c r="P879" s="2" t="s">
        <v>87</v>
      </c>
      <c r="Q879" s="1" t="s">
        <v>364</v>
      </c>
      <c r="R879" s="2" t="s">
        <v>585</v>
      </c>
      <c r="S879" s="8">
        <f>B879+2</f>
        <v>40639</v>
      </c>
    </row>
    <row r="880" spans="1:19" x14ac:dyDescent="0.15">
      <c r="A880" s="1">
        <v>38240</v>
      </c>
      <c r="B880" s="6">
        <f>DATE(2012,12,31)-1108</f>
        <v>40166</v>
      </c>
      <c r="C880" s="2" t="s">
        <v>913</v>
      </c>
      <c r="D880" s="1">
        <v>42</v>
      </c>
      <c r="E880" s="1">
        <v>1651.07</v>
      </c>
      <c r="F880" s="1">
        <v>0.09</v>
      </c>
      <c r="G880" s="2" t="s">
        <v>560</v>
      </c>
      <c r="H880" s="10">
        <v>-100.49</v>
      </c>
      <c r="I880" s="7">
        <v>40.98</v>
      </c>
      <c r="J880" s="7">
        <v>6.5</v>
      </c>
      <c r="K880" s="2" t="s">
        <v>772</v>
      </c>
      <c r="L880" s="16" t="s">
        <v>919</v>
      </c>
      <c r="M880" s="4" t="s">
        <v>563</v>
      </c>
      <c r="N880" s="2" t="s">
        <v>566</v>
      </c>
      <c r="O880" s="2" t="s">
        <v>569</v>
      </c>
      <c r="P880" s="2" t="s">
        <v>572</v>
      </c>
      <c r="Q880" s="1" t="s">
        <v>547</v>
      </c>
      <c r="R880" s="2" t="s">
        <v>585</v>
      </c>
      <c r="S880" s="8">
        <f>B880+2</f>
        <v>40168</v>
      </c>
    </row>
    <row r="881" spans="1:19" x14ac:dyDescent="0.15">
      <c r="A881" s="1">
        <v>38661</v>
      </c>
      <c r="B881" s="6">
        <f>DATE(2012,12,31)-323</f>
        <v>40951</v>
      </c>
      <c r="C881" s="2" t="s">
        <v>913</v>
      </c>
      <c r="D881" s="1">
        <v>48</v>
      </c>
      <c r="E881" s="1">
        <v>326.10000000000002</v>
      </c>
      <c r="F881" s="1">
        <v>0.04</v>
      </c>
      <c r="G881" s="2" t="s">
        <v>560</v>
      </c>
      <c r="H881" s="10">
        <v>-118.74</v>
      </c>
      <c r="I881" s="7">
        <v>6.48</v>
      </c>
      <c r="J881" s="7">
        <v>6.6</v>
      </c>
      <c r="K881" s="2" t="s">
        <v>817</v>
      </c>
      <c r="L881" s="16" t="s">
        <v>919</v>
      </c>
      <c r="M881" s="4" t="s">
        <v>563</v>
      </c>
      <c r="N881" s="2" t="s">
        <v>567</v>
      </c>
      <c r="O881" s="2" t="s">
        <v>568</v>
      </c>
      <c r="P881" s="2" t="s">
        <v>573</v>
      </c>
      <c r="Q881" s="1" t="s">
        <v>669</v>
      </c>
      <c r="R881" s="2" t="s">
        <v>585</v>
      </c>
      <c r="S881" s="8">
        <f>B881+1</f>
        <v>40952</v>
      </c>
    </row>
    <row r="882" spans="1:19" x14ac:dyDescent="0.15">
      <c r="A882" s="1">
        <v>38661</v>
      </c>
      <c r="B882" s="6">
        <f>DATE(2012,12,31)-323</f>
        <v>40951</v>
      </c>
      <c r="C882" s="2" t="s">
        <v>913</v>
      </c>
      <c r="D882" s="1">
        <v>6</v>
      </c>
      <c r="E882" s="1">
        <v>170.374</v>
      </c>
      <c r="F882" s="1">
        <v>0.09</v>
      </c>
      <c r="G882" s="2" t="s">
        <v>560</v>
      </c>
      <c r="H882" s="10">
        <v>-67.132999999999996</v>
      </c>
      <c r="I882" s="7">
        <v>35.99</v>
      </c>
      <c r="J882" s="7">
        <v>0.99</v>
      </c>
      <c r="K882" s="2" t="s">
        <v>817</v>
      </c>
      <c r="L882" s="16" t="s">
        <v>919</v>
      </c>
      <c r="M882" s="4" t="s">
        <v>563</v>
      </c>
      <c r="N882" s="2" t="s">
        <v>567</v>
      </c>
      <c r="O882" s="2" t="s">
        <v>569</v>
      </c>
      <c r="P882" s="2" t="s">
        <v>87</v>
      </c>
      <c r="Q882" s="1" t="s">
        <v>712</v>
      </c>
      <c r="R882" s="2" t="s">
        <v>587</v>
      </c>
      <c r="S882" s="8">
        <f>B882+3</f>
        <v>40954</v>
      </c>
    </row>
    <row r="883" spans="1:19" x14ac:dyDescent="0.15">
      <c r="A883" s="1">
        <v>39110</v>
      </c>
      <c r="B883" s="6">
        <f>DATE(2012,12,31)-1060</f>
        <v>40214</v>
      </c>
      <c r="C883" s="2" t="s">
        <v>914</v>
      </c>
      <c r="D883" s="1">
        <v>14</v>
      </c>
      <c r="E883" s="1">
        <v>2595.0700000000002</v>
      </c>
      <c r="F883" s="1">
        <v>0.1</v>
      </c>
      <c r="G883" s="2" t="s">
        <v>560</v>
      </c>
      <c r="H883" s="10">
        <v>1217.19</v>
      </c>
      <c r="I883" s="7">
        <v>194.3</v>
      </c>
      <c r="J883" s="7">
        <v>11.54</v>
      </c>
      <c r="K883" s="2" t="s">
        <v>911</v>
      </c>
      <c r="L883" s="16" t="s">
        <v>919</v>
      </c>
      <c r="M883" s="4" t="s">
        <v>563</v>
      </c>
      <c r="N883" s="2" t="s">
        <v>564</v>
      </c>
      <c r="O883" s="2" t="s">
        <v>570</v>
      </c>
      <c r="P883" s="2" t="s">
        <v>579</v>
      </c>
      <c r="Q883" s="1" t="s">
        <v>735</v>
      </c>
      <c r="R883" s="2" t="s">
        <v>590</v>
      </c>
      <c r="S883" s="8">
        <f>B883+0</f>
        <v>40214</v>
      </c>
    </row>
    <row r="884" spans="1:19" x14ac:dyDescent="0.15">
      <c r="A884" s="1">
        <v>39235</v>
      </c>
      <c r="B884" s="6">
        <f>DATE(2012,12,31)-901</f>
        <v>40373</v>
      </c>
      <c r="C884" s="2" t="s">
        <v>914</v>
      </c>
      <c r="D884" s="1">
        <v>34</v>
      </c>
      <c r="E884" s="1">
        <v>801.98</v>
      </c>
      <c r="F884" s="1">
        <v>0</v>
      </c>
      <c r="G884" s="2" t="s">
        <v>560</v>
      </c>
      <c r="H884" s="10">
        <v>-99.95</v>
      </c>
      <c r="I884" s="7">
        <v>21.66</v>
      </c>
      <c r="J884" s="7">
        <v>13.99</v>
      </c>
      <c r="K884" s="2" t="s">
        <v>764</v>
      </c>
      <c r="L884" s="16" t="s">
        <v>919</v>
      </c>
      <c r="M884" s="4" t="s">
        <v>563</v>
      </c>
      <c r="N884" s="2" t="s">
        <v>567</v>
      </c>
      <c r="O884" s="2" t="s">
        <v>568</v>
      </c>
      <c r="P884" s="2" t="s">
        <v>576</v>
      </c>
      <c r="Q884" s="1" t="s">
        <v>675</v>
      </c>
      <c r="R884" s="2" t="s">
        <v>589</v>
      </c>
      <c r="S884" s="8">
        <f>B884+2</f>
        <v>40375</v>
      </c>
    </row>
    <row r="885" spans="1:19" x14ac:dyDescent="0.15">
      <c r="A885" s="1">
        <v>39270</v>
      </c>
      <c r="B885" s="6">
        <f>DATE(2012,12,31)-694</f>
        <v>40580</v>
      </c>
      <c r="C885" s="2" t="s">
        <v>913</v>
      </c>
      <c r="D885" s="1">
        <v>11</v>
      </c>
      <c r="E885" s="1">
        <v>65.78</v>
      </c>
      <c r="F885" s="1">
        <v>7.0000000000000007E-2</v>
      </c>
      <c r="G885" s="2" t="s">
        <v>560</v>
      </c>
      <c r="H885" s="10">
        <v>-17.420000000000002</v>
      </c>
      <c r="I885" s="7">
        <v>5.81</v>
      </c>
      <c r="J885" s="7">
        <v>3.37</v>
      </c>
      <c r="K885" s="2" t="s">
        <v>901</v>
      </c>
      <c r="L885" s="16" t="s">
        <v>919</v>
      </c>
      <c r="M885" s="4" t="s">
        <v>563</v>
      </c>
      <c r="N885" s="2" t="s">
        <v>564</v>
      </c>
      <c r="O885" s="2" t="s">
        <v>568</v>
      </c>
      <c r="P885" s="2" t="s">
        <v>580</v>
      </c>
      <c r="Q885" s="1" t="s">
        <v>93</v>
      </c>
      <c r="R885" s="2" t="s">
        <v>584</v>
      </c>
      <c r="S885" s="8">
        <f>B885+0</f>
        <v>40580</v>
      </c>
    </row>
    <row r="886" spans="1:19" x14ac:dyDescent="0.15">
      <c r="A886" s="1">
        <v>39586</v>
      </c>
      <c r="B886" s="6">
        <f>DATE(2012,12,31)-592</f>
        <v>40682</v>
      </c>
      <c r="C886" s="2" t="s">
        <v>915</v>
      </c>
      <c r="D886" s="1">
        <v>1</v>
      </c>
      <c r="E886" s="1">
        <v>10.48</v>
      </c>
      <c r="F886" s="1">
        <v>0.04</v>
      </c>
      <c r="G886" s="2" t="s">
        <v>560</v>
      </c>
      <c r="H886" s="10">
        <v>-5.4395000000000007</v>
      </c>
      <c r="I886" s="7">
        <v>3.52</v>
      </c>
      <c r="J886" s="7">
        <v>6.83</v>
      </c>
      <c r="K886" s="2" t="s">
        <v>764</v>
      </c>
      <c r="L886" s="16" t="s">
        <v>919</v>
      </c>
      <c r="M886" s="4" t="s">
        <v>563</v>
      </c>
      <c r="N886" s="2" t="s">
        <v>567</v>
      </c>
      <c r="O886" s="2" t="s">
        <v>568</v>
      </c>
      <c r="P886" s="2" t="s">
        <v>88</v>
      </c>
      <c r="Q886" s="1" t="s">
        <v>471</v>
      </c>
      <c r="R886" s="2" t="s">
        <v>585</v>
      </c>
      <c r="S886" s="8">
        <f>B886+2</f>
        <v>40684</v>
      </c>
    </row>
    <row r="887" spans="1:19" x14ac:dyDescent="0.15">
      <c r="A887" s="1">
        <v>39812</v>
      </c>
      <c r="B887" s="6">
        <f>DATE(2012,12,31)-1290</f>
        <v>39984</v>
      </c>
      <c r="C887" s="2" t="s">
        <v>915</v>
      </c>
      <c r="D887" s="1">
        <v>40</v>
      </c>
      <c r="E887" s="1">
        <v>323.63</v>
      </c>
      <c r="F887" s="1">
        <v>0.05</v>
      </c>
      <c r="G887" s="2" t="s">
        <v>560</v>
      </c>
      <c r="H887" s="10">
        <v>-205.49349999999998</v>
      </c>
      <c r="I887" s="7">
        <v>8.0399999999999991</v>
      </c>
      <c r="J887" s="7">
        <v>8.94</v>
      </c>
      <c r="K887" s="2" t="s">
        <v>901</v>
      </c>
      <c r="L887" s="16" t="s">
        <v>919</v>
      </c>
      <c r="M887" s="4" t="s">
        <v>563</v>
      </c>
      <c r="N887" s="2" t="s">
        <v>564</v>
      </c>
      <c r="O887" s="2" t="s">
        <v>568</v>
      </c>
      <c r="P887" s="2" t="s">
        <v>88</v>
      </c>
      <c r="Q887" s="1" t="s">
        <v>591</v>
      </c>
      <c r="R887" s="2" t="s">
        <v>585</v>
      </c>
      <c r="S887" s="8">
        <f>B887+2</f>
        <v>39986</v>
      </c>
    </row>
    <row r="888" spans="1:19" x14ac:dyDescent="0.15">
      <c r="A888" s="1">
        <v>40673</v>
      </c>
      <c r="B888" s="6">
        <f>DATE(2012,12,31)-318</f>
        <v>40956</v>
      </c>
      <c r="C888" s="2" t="s">
        <v>916</v>
      </c>
      <c r="D888" s="1">
        <v>14</v>
      </c>
      <c r="E888" s="1">
        <v>157.49</v>
      </c>
      <c r="F888" s="1">
        <v>0.02</v>
      </c>
      <c r="G888" s="2" t="s">
        <v>560</v>
      </c>
      <c r="H888" s="10">
        <v>62.54</v>
      </c>
      <c r="I888" s="7">
        <v>10.94</v>
      </c>
      <c r="J888" s="7">
        <v>1.39</v>
      </c>
      <c r="K888" s="2" t="s">
        <v>885</v>
      </c>
      <c r="L888" s="16" t="s">
        <v>919</v>
      </c>
      <c r="M888" s="4" t="s">
        <v>563</v>
      </c>
      <c r="N888" s="2" t="s">
        <v>564</v>
      </c>
      <c r="O888" s="2" t="s">
        <v>568</v>
      </c>
      <c r="P888" s="2" t="s">
        <v>575</v>
      </c>
      <c r="Q888" s="1" t="s">
        <v>242</v>
      </c>
      <c r="R888" s="2" t="s">
        <v>585</v>
      </c>
      <c r="S888" s="8">
        <f>B888+5</f>
        <v>40961</v>
      </c>
    </row>
    <row r="889" spans="1:19" x14ac:dyDescent="0.15">
      <c r="A889" s="1">
        <v>41413</v>
      </c>
      <c r="B889" s="6">
        <f>DATE(2012,12,31)-411</f>
        <v>40863</v>
      </c>
      <c r="C889" s="2" t="s">
        <v>916</v>
      </c>
      <c r="D889" s="1">
        <v>17</v>
      </c>
      <c r="E889" s="1">
        <v>10134.549999999999</v>
      </c>
      <c r="F889" s="1">
        <v>0.08</v>
      </c>
      <c r="G889" s="2" t="s">
        <v>560</v>
      </c>
      <c r="H889" s="10">
        <v>-597.21</v>
      </c>
      <c r="I889" s="7">
        <v>599.99</v>
      </c>
      <c r="J889" s="7">
        <v>24.49</v>
      </c>
      <c r="K889" s="2" t="s">
        <v>866</v>
      </c>
      <c r="L889" s="16" t="s">
        <v>919</v>
      </c>
      <c r="M889" s="4" t="s">
        <v>563</v>
      </c>
      <c r="N889" s="2" t="s">
        <v>567</v>
      </c>
      <c r="O889" s="2" t="s">
        <v>569</v>
      </c>
      <c r="P889" s="2" t="s">
        <v>90</v>
      </c>
      <c r="Q889" s="1" t="s">
        <v>91</v>
      </c>
      <c r="R889" s="2" t="s">
        <v>590</v>
      </c>
      <c r="S889" s="8">
        <f>B889+7</f>
        <v>40870</v>
      </c>
    </row>
    <row r="890" spans="1:19" x14ac:dyDescent="0.15">
      <c r="A890" s="1">
        <v>41413</v>
      </c>
      <c r="B890" s="6">
        <f>DATE(2012,12,31)-411</f>
        <v>40863</v>
      </c>
      <c r="C890" s="2" t="s">
        <v>916</v>
      </c>
      <c r="D890" s="1">
        <v>46</v>
      </c>
      <c r="E890" s="1">
        <v>1765.64</v>
      </c>
      <c r="F890" s="1">
        <v>0.08</v>
      </c>
      <c r="G890" s="2" t="s">
        <v>560</v>
      </c>
      <c r="H890" s="10">
        <v>108.65</v>
      </c>
      <c r="I890" s="7">
        <v>40.97</v>
      </c>
      <c r="J890" s="7">
        <v>14.45</v>
      </c>
      <c r="K890" s="2" t="s">
        <v>866</v>
      </c>
      <c r="L890" s="16" t="s">
        <v>919</v>
      </c>
      <c r="M890" s="4" t="s">
        <v>563</v>
      </c>
      <c r="N890" s="2" t="s">
        <v>567</v>
      </c>
      <c r="O890" s="2" t="s">
        <v>570</v>
      </c>
      <c r="P890" s="2" t="s">
        <v>579</v>
      </c>
      <c r="Q890" s="1" t="s">
        <v>203</v>
      </c>
      <c r="R890" s="2" t="s">
        <v>590</v>
      </c>
      <c r="S890" s="8">
        <f>B890+2</f>
        <v>40865</v>
      </c>
    </row>
    <row r="891" spans="1:19" x14ac:dyDescent="0.15">
      <c r="A891" s="1">
        <v>41413</v>
      </c>
      <c r="B891" s="6">
        <f>DATE(2012,12,31)-411</f>
        <v>40863</v>
      </c>
      <c r="C891" s="2" t="s">
        <v>916</v>
      </c>
      <c r="D891" s="1">
        <v>23</v>
      </c>
      <c r="E891" s="1">
        <v>156.5</v>
      </c>
      <c r="F891" s="1">
        <v>0.01</v>
      </c>
      <c r="G891" s="2" t="s">
        <v>560</v>
      </c>
      <c r="H891" s="10">
        <v>-49.6</v>
      </c>
      <c r="I891" s="7">
        <v>6.48</v>
      </c>
      <c r="J891" s="7">
        <v>6</v>
      </c>
      <c r="K891" s="2" t="s">
        <v>866</v>
      </c>
      <c r="L891" s="16" t="s">
        <v>919</v>
      </c>
      <c r="M891" s="4" t="s">
        <v>563</v>
      </c>
      <c r="N891" s="2" t="s">
        <v>567</v>
      </c>
      <c r="O891" s="2" t="s">
        <v>568</v>
      </c>
      <c r="P891" s="2" t="s">
        <v>573</v>
      </c>
      <c r="Q891" s="1" t="s">
        <v>239</v>
      </c>
      <c r="R891" s="2" t="s">
        <v>585</v>
      </c>
      <c r="S891" s="8">
        <f>B891+4</f>
        <v>40867</v>
      </c>
    </row>
    <row r="892" spans="1:19" x14ac:dyDescent="0.15">
      <c r="A892" s="1">
        <v>41824</v>
      </c>
      <c r="B892" s="6">
        <f>DATE(2012,12,31)-911</f>
        <v>40363</v>
      </c>
      <c r="C892" s="2" t="s">
        <v>915</v>
      </c>
      <c r="D892" s="1">
        <v>8</v>
      </c>
      <c r="E892" s="1">
        <v>157.51</v>
      </c>
      <c r="F892" s="1">
        <v>0.01</v>
      </c>
      <c r="G892" s="2" t="s">
        <v>560</v>
      </c>
      <c r="H892" s="10">
        <v>46.478000000000002</v>
      </c>
      <c r="I892" s="7">
        <v>18.940000000000001</v>
      </c>
      <c r="J892" s="7">
        <v>1.49</v>
      </c>
      <c r="K892" s="2" t="s">
        <v>866</v>
      </c>
      <c r="L892" s="16" t="s">
        <v>919</v>
      </c>
      <c r="M892" s="4" t="s">
        <v>563</v>
      </c>
      <c r="N892" s="2" t="s">
        <v>567</v>
      </c>
      <c r="O892" s="2" t="s">
        <v>568</v>
      </c>
      <c r="P892" s="2" t="s">
        <v>88</v>
      </c>
      <c r="Q892" s="1" t="s">
        <v>322</v>
      </c>
      <c r="R892" s="2" t="s">
        <v>585</v>
      </c>
      <c r="S892" s="8">
        <f>B892+1</f>
        <v>40364</v>
      </c>
    </row>
    <row r="893" spans="1:19" x14ac:dyDescent="0.15">
      <c r="A893" s="1">
        <v>41824</v>
      </c>
      <c r="B893" s="6">
        <f>DATE(2012,12,31)-911</f>
        <v>40363</v>
      </c>
      <c r="C893" s="2" t="s">
        <v>915</v>
      </c>
      <c r="D893" s="1">
        <v>33</v>
      </c>
      <c r="E893" s="1">
        <v>97.78</v>
      </c>
      <c r="F893" s="1">
        <v>0.09</v>
      </c>
      <c r="G893" s="2" t="s">
        <v>560</v>
      </c>
      <c r="H893" s="10">
        <v>-31.22</v>
      </c>
      <c r="I893" s="7">
        <v>2.98</v>
      </c>
      <c r="J893" s="7">
        <v>2.0299999999999998</v>
      </c>
      <c r="K893" s="2" t="s">
        <v>866</v>
      </c>
      <c r="L893" s="16" t="s">
        <v>919</v>
      </c>
      <c r="M893" s="4" t="s">
        <v>563</v>
      </c>
      <c r="N893" s="2" t="s">
        <v>567</v>
      </c>
      <c r="O893" s="2" t="s">
        <v>568</v>
      </c>
      <c r="P893" s="2" t="s">
        <v>571</v>
      </c>
      <c r="Q893" s="1" t="s">
        <v>133</v>
      </c>
      <c r="R893" s="2" t="s">
        <v>584</v>
      </c>
      <c r="S893" s="8">
        <f>B893+2</f>
        <v>40365</v>
      </c>
    </row>
    <row r="894" spans="1:19" x14ac:dyDescent="0.15">
      <c r="A894" s="1">
        <v>42628</v>
      </c>
      <c r="B894" s="6">
        <f>DATE(2012,12,31)-606</f>
        <v>40668</v>
      </c>
      <c r="C894" s="2" t="s">
        <v>915</v>
      </c>
      <c r="D894" s="1">
        <v>4</v>
      </c>
      <c r="E894" s="1">
        <v>1199.336</v>
      </c>
      <c r="F894" s="1">
        <v>0.01</v>
      </c>
      <c r="G894" s="2" t="s">
        <v>562</v>
      </c>
      <c r="H894" s="10">
        <v>224.8</v>
      </c>
      <c r="I894" s="7">
        <v>349.45</v>
      </c>
      <c r="J894" s="7">
        <v>60</v>
      </c>
      <c r="K894" s="2" t="s">
        <v>772</v>
      </c>
      <c r="L894" s="16" t="s">
        <v>919</v>
      </c>
      <c r="M894" s="4" t="s">
        <v>563</v>
      </c>
      <c r="N894" s="2" t="s">
        <v>566</v>
      </c>
      <c r="O894" s="2" t="s">
        <v>570</v>
      </c>
      <c r="P894" s="2" t="s">
        <v>578</v>
      </c>
      <c r="Q894" s="1" t="s">
        <v>729</v>
      </c>
      <c r="R894" s="2" t="s">
        <v>586</v>
      </c>
      <c r="S894" s="8">
        <f>B894+2</f>
        <v>40670</v>
      </c>
    </row>
    <row r="895" spans="1:19" x14ac:dyDescent="0.15">
      <c r="A895" s="1">
        <v>42722</v>
      </c>
      <c r="B895" s="6">
        <f>DATE(2012,12,31)-85</f>
        <v>41189</v>
      </c>
      <c r="C895" s="2" t="s">
        <v>915</v>
      </c>
      <c r="D895" s="1">
        <v>23</v>
      </c>
      <c r="E895" s="1">
        <v>1152.1600000000001</v>
      </c>
      <c r="F895" s="1">
        <v>0</v>
      </c>
      <c r="G895" s="2" t="s">
        <v>560</v>
      </c>
      <c r="H895" s="10">
        <v>286.98</v>
      </c>
      <c r="I895" s="7">
        <v>48.92</v>
      </c>
      <c r="J895" s="7">
        <v>4.5</v>
      </c>
      <c r="K895" s="2" t="s">
        <v>844</v>
      </c>
      <c r="L895" s="16" t="s">
        <v>919</v>
      </c>
      <c r="M895" s="4" t="s">
        <v>563</v>
      </c>
      <c r="N895" s="2" t="s">
        <v>564</v>
      </c>
      <c r="O895" s="2" t="s">
        <v>568</v>
      </c>
      <c r="P895" s="2" t="s">
        <v>576</v>
      </c>
      <c r="Q895" s="1" t="s">
        <v>742</v>
      </c>
      <c r="R895" s="2" t="s">
        <v>585</v>
      </c>
      <c r="S895" s="8">
        <f>B895+1</f>
        <v>41190</v>
      </c>
    </row>
    <row r="896" spans="1:19" x14ac:dyDescent="0.15">
      <c r="A896" s="1">
        <v>42722</v>
      </c>
      <c r="B896" s="6">
        <f>DATE(2012,12,31)-85</f>
        <v>41189</v>
      </c>
      <c r="C896" s="2" t="s">
        <v>915</v>
      </c>
      <c r="D896" s="1">
        <v>2</v>
      </c>
      <c r="E896" s="1">
        <v>19.899999999999999</v>
      </c>
      <c r="F896" s="1">
        <v>7.0000000000000007E-2</v>
      </c>
      <c r="G896" s="2" t="s">
        <v>560</v>
      </c>
      <c r="H896" s="10">
        <v>15.97</v>
      </c>
      <c r="I896" s="7">
        <v>7.38</v>
      </c>
      <c r="J896" s="7">
        <v>5.21</v>
      </c>
      <c r="K896" s="2" t="s">
        <v>844</v>
      </c>
      <c r="L896" s="16" t="s">
        <v>919</v>
      </c>
      <c r="M896" s="4" t="s">
        <v>563</v>
      </c>
      <c r="N896" s="2" t="s">
        <v>564</v>
      </c>
      <c r="O896" s="2" t="s">
        <v>570</v>
      </c>
      <c r="P896" s="2" t="s">
        <v>579</v>
      </c>
      <c r="Q896" s="1" t="s">
        <v>405</v>
      </c>
      <c r="R896" s="2" t="s">
        <v>585</v>
      </c>
      <c r="S896" s="8">
        <f>B896+2</f>
        <v>41191</v>
      </c>
    </row>
    <row r="897" spans="1:19" x14ac:dyDescent="0.15">
      <c r="A897" s="1">
        <v>42753</v>
      </c>
      <c r="B897" s="6">
        <f>DATE(2012,12,31)-348</f>
        <v>40926</v>
      </c>
      <c r="C897" s="2" t="s">
        <v>914</v>
      </c>
      <c r="D897" s="1">
        <v>45</v>
      </c>
      <c r="E897" s="1">
        <v>4072.8175000000001</v>
      </c>
      <c r="F897" s="1">
        <v>0.1</v>
      </c>
      <c r="G897" s="2" t="s">
        <v>560</v>
      </c>
      <c r="H897" s="10">
        <v>897.36300000000006</v>
      </c>
      <c r="I897" s="7">
        <v>115.99</v>
      </c>
      <c r="J897" s="7">
        <v>3</v>
      </c>
      <c r="K897" s="2" t="s">
        <v>803</v>
      </c>
      <c r="L897" s="16" t="s">
        <v>919</v>
      </c>
      <c r="M897" s="4" t="s">
        <v>563</v>
      </c>
      <c r="N897" s="2" t="s">
        <v>565</v>
      </c>
      <c r="O897" s="2" t="s">
        <v>569</v>
      </c>
      <c r="P897" s="2" t="s">
        <v>87</v>
      </c>
      <c r="Q897" s="1" t="s">
        <v>289</v>
      </c>
      <c r="R897" s="2" t="s">
        <v>585</v>
      </c>
      <c r="S897" s="8">
        <f>B897+2</f>
        <v>40928</v>
      </c>
    </row>
    <row r="898" spans="1:19" x14ac:dyDescent="0.15">
      <c r="A898" s="1">
        <v>43013</v>
      </c>
      <c r="B898" s="6">
        <f>DATE(2012,12,31)-619</f>
        <v>40655</v>
      </c>
      <c r="C898" s="2" t="s">
        <v>916</v>
      </c>
      <c r="D898" s="1">
        <v>43</v>
      </c>
      <c r="E898" s="1">
        <v>1438.33</v>
      </c>
      <c r="F898" s="1">
        <v>0.08</v>
      </c>
      <c r="G898" s="2" t="s">
        <v>560</v>
      </c>
      <c r="H898" s="10">
        <v>163.38</v>
      </c>
      <c r="I898" s="7">
        <v>34.76</v>
      </c>
      <c r="J898" s="7">
        <v>8.2200000000000006</v>
      </c>
      <c r="K898" s="2" t="s">
        <v>764</v>
      </c>
      <c r="L898" s="16" t="s">
        <v>919</v>
      </c>
      <c r="M898" s="4" t="s">
        <v>563</v>
      </c>
      <c r="N898" s="2" t="s">
        <v>564</v>
      </c>
      <c r="O898" s="2" t="s">
        <v>568</v>
      </c>
      <c r="P898" s="2" t="s">
        <v>577</v>
      </c>
      <c r="Q898" s="1" t="s">
        <v>665</v>
      </c>
      <c r="R898" s="2" t="s">
        <v>585</v>
      </c>
      <c r="S898" s="8">
        <f>B898+5</f>
        <v>40660</v>
      </c>
    </row>
    <row r="899" spans="1:19" x14ac:dyDescent="0.15">
      <c r="A899" s="1">
        <v>44198</v>
      </c>
      <c r="B899" s="6">
        <f>DATE(2012,12,31)-727</f>
        <v>40547</v>
      </c>
      <c r="C899" s="2" t="s">
        <v>917</v>
      </c>
      <c r="D899" s="1">
        <v>35</v>
      </c>
      <c r="E899" s="1">
        <v>625.94849999999997</v>
      </c>
      <c r="F899" s="1">
        <v>0.04</v>
      </c>
      <c r="G899" s="2" t="s">
        <v>561</v>
      </c>
      <c r="H899" s="10">
        <v>-87.021000000000001</v>
      </c>
      <c r="I899" s="7">
        <v>20.99</v>
      </c>
      <c r="J899" s="7">
        <v>3.3</v>
      </c>
      <c r="K899" s="2" t="s">
        <v>901</v>
      </c>
      <c r="L899" s="16" t="s">
        <v>919</v>
      </c>
      <c r="M899" s="4" t="s">
        <v>563</v>
      </c>
      <c r="N899" s="2" t="s">
        <v>564</v>
      </c>
      <c r="O899" s="2" t="s">
        <v>569</v>
      </c>
      <c r="P899" s="2" t="s">
        <v>87</v>
      </c>
      <c r="Q899" s="1" t="s">
        <v>58</v>
      </c>
      <c r="R899" s="2" t="s">
        <v>587</v>
      </c>
      <c r="S899" s="8">
        <f>B899+0</f>
        <v>40547</v>
      </c>
    </row>
    <row r="900" spans="1:19" x14ac:dyDescent="0.15">
      <c r="A900" s="1">
        <v>44451</v>
      </c>
      <c r="B900" s="6">
        <f>DATE(2012,12,31)-477</f>
        <v>40797</v>
      </c>
      <c r="C900" s="2" t="s">
        <v>916</v>
      </c>
      <c r="D900" s="1">
        <v>4</v>
      </c>
      <c r="E900" s="1">
        <v>12.49</v>
      </c>
      <c r="F900" s="1">
        <v>0.08</v>
      </c>
      <c r="G900" s="2" t="s">
        <v>560</v>
      </c>
      <c r="H900" s="10">
        <v>-13.500999999999999</v>
      </c>
      <c r="I900" s="7">
        <v>1.98</v>
      </c>
      <c r="J900" s="7">
        <v>4.7699999999999996</v>
      </c>
      <c r="K900" s="2" t="s">
        <v>911</v>
      </c>
      <c r="L900" s="16" t="s">
        <v>919</v>
      </c>
      <c r="M900" s="4" t="s">
        <v>563</v>
      </c>
      <c r="N900" s="2" t="s">
        <v>564</v>
      </c>
      <c r="O900" s="2" t="s">
        <v>568</v>
      </c>
      <c r="P900" s="2" t="s">
        <v>88</v>
      </c>
      <c r="Q900" s="1" t="s">
        <v>121</v>
      </c>
      <c r="R900" s="2" t="s">
        <v>585</v>
      </c>
      <c r="S900" s="8">
        <f>B900+4</f>
        <v>40801</v>
      </c>
    </row>
    <row r="901" spans="1:19" x14ac:dyDescent="0.15">
      <c r="A901" s="1">
        <v>44576</v>
      </c>
      <c r="B901" s="6">
        <f>DATE(2012,12,31)-1102</f>
        <v>40172</v>
      </c>
      <c r="C901" s="2" t="s">
        <v>915</v>
      </c>
      <c r="D901" s="1">
        <v>30</v>
      </c>
      <c r="E901" s="1">
        <v>1653.607</v>
      </c>
      <c r="F901" s="1">
        <v>0.02</v>
      </c>
      <c r="G901" s="2" t="s">
        <v>560</v>
      </c>
      <c r="H901" s="10">
        <v>294.96600000000001</v>
      </c>
      <c r="I901" s="7">
        <v>65.989999999999995</v>
      </c>
      <c r="J901" s="7">
        <v>5.31</v>
      </c>
      <c r="K901" s="2" t="s">
        <v>901</v>
      </c>
      <c r="L901" s="16" t="s">
        <v>919</v>
      </c>
      <c r="M901" s="4" t="s">
        <v>563</v>
      </c>
      <c r="N901" s="2" t="s">
        <v>565</v>
      </c>
      <c r="O901" s="2" t="s">
        <v>569</v>
      </c>
      <c r="P901" s="2" t="s">
        <v>87</v>
      </c>
      <c r="Q901" s="1" t="s">
        <v>245</v>
      </c>
      <c r="R901" s="2" t="s">
        <v>585</v>
      </c>
      <c r="S901" s="8">
        <f>B901+1</f>
        <v>40173</v>
      </c>
    </row>
    <row r="902" spans="1:19" x14ac:dyDescent="0.15">
      <c r="A902" s="1">
        <v>44834</v>
      </c>
      <c r="B902" s="6">
        <f>DATE(2012,12,31)-1351</f>
        <v>39923</v>
      </c>
      <c r="C902" s="2" t="s">
        <v>914</v>
      </c>
      <c r="D902" s="1">
        <v>13</v>
      </c>
      <c r="E902" s="1">
        <v>248.76</v>
      </c>
      <c r="F902" s="1">
        <v>0.1</v>
      </c>
      <c r="G902" s="2" t="s">
        <v>561</v>
      </c>
      <c r="H902" s="10">
        <v>35.090000000000003</v>
      </c>
      <c r="I902" s="7">
        <v>19.98</v>
      </c>
      <c r="J902" s="7">
        <v>5.77</v>
      </c>
      <c r="K902" s="2" t="s">
        <v>803</v>
      </c>
      <c r="L902" s="16" t="s">
        <v>919</v>
      </c>
      <c r="M902" s="4" t="s">
        <v>563</v>
      </c>
      <c r="N902" s="2" t="s">
        <v>565</v>
      </c>
      <c r="O902" s="2" t="s">
        <v>568</v>
      </c>
      <c r="P902" s="2" t="s">
        <v>573</v>
      </c>
      <c r="Q902" s="1" t="s">
        <v>671</v>
      </c>
      <c r="R902" s="2" t="s">
        <v>585</v>
      </c>
      <c r="S902" s="8">
        <f>B902+0</f>
        <v>39923</v>
      </c>
    </row>
    <row r="903" spans="1:19" x14ac:dyDescent="0.15">
      <c r="A903" s="1">
        <v>44834</v>
      </c>
      <c r="B903" s="6">
        <f>DATE(2012,12,31)-1351</f>
        <v>39923</v>
      </c>
      <c r="C903" s="2" t="s">
        <v>914</v>
      </c>
      <c r="D903" s="1">
        <v>43</v>
      </c>
      <c r="E903" s="1">
        <v>10984.05</v>
      </c>
      <c r="F903" s="1">
        <v>0.06</v>
      </c>
      <c r="G903" s="2" t="s">
        <v>562</v>
      </c>
      <c r="H903" s="10">
        <v>785.63</v>
      </c>
      <c r="I903" s="7">
        <v>259.70999999999998</v>
      </c>
      <c r="J903" s="7">
        <v>66.67</v>
      </c>
      <c r="K903" s="2" t="s">
        <v>803</v>
      </c>
      <c r="L903" s="16" t="s">
        <v>919</v>
      </c>
      <c r="M903" s="4" t="s">
        <v>563</v>
      </c>
      <c r="N903" s="2" t="s">
        <v>565</v>
      </c>
      <c r="O903" s="2" t="s">
        <v>570</v>
      </c>
      <c r="P903" s="2" t="s">
        <v>578</v>
      </c>
      <c r="Q903" s="1" t="s">
        <v>619</v>
      </c>
      <c r="R903" s="2" t="s">
        <v>588</v>
      </c>
      <c r="S903" s="8">
        <f>B903+1</f>
        <v>39924</v>
      </c>
    </row>
    <row r="904" spans="1:19" x14ac:dyDescent="0.15">
      <c r="A904" s="1">
        <v>46053</v>
      </c>
      <c r="B904" s="6">
        <f>DATE(2012,12,31)-109</f>
        <v>41165</v>
      </c>
      <c r="C904" s="2" t="s">
        <v>913</v>
      </c>
      <c r="D904" s="1">
        <v>31</v>
      </c>
      <c r="E904" s="1">
        <v>2447.1074999999996</v>
      </c>
      <c r="F904" s="1">
        <v>0</v>
      </c>
      <c r="G904" s="2" t="s">
        <v>560</v>
      </c>
      <c r="H904" s="10">
        <v>856.96199999999999</v>
      </c>
      <c r="I904" s="7">
        <v>85.99</v>
      </c>
      <c r="J904" s="7">
        <v>0.99</v>
      </c>
      <c r="K904" s="2" t="s">
        <v>772</v>
      </c>
      <c r="L904" s="16" t="s">
        <v>919</v>
      </c>
      <c r="M904" s="4" t="s">
        <v>563</v>
      </c>
      <c r="N904" s="2" t="s">
        <v>566</v>
      </c>
      <c r="O904" s="2" t="s">
        <v>569</v>
      </c>
      <c r="P904" s="2" t="s">
        <v>87</v>
      </c>
      <c r="Q904" s="1" t="s">
        <v>474</v>
      </c>
      <c r="R904" s="2" t="s">
        <v>584</v>
      </c>
      <c r="S904" s="8">
        <f>B904+1</f>
        <v>41166</v>
      </c>
    </row>
    <row r="905" spans="1:19" x14ac:dyDescent="0.15">
      <c r="A905" s="1">
        <v>47329</v>
      </c>
      <c r="B905" s="6">
        <f>DATE(2012,12,31)-1055</f>
        <v>40219</v>
      </c>
      <c r="C905" s="2" t="s">
        <v>916</v>
      </c>
      <c r="D905" s="1">
        <v>2</v>
      </c>
      <c r="E905" s="1">
        <v>26.64</v>
      </c>
      <c r="F905" s="1">
        <v>0.09</v>
      </c>
      <c r="G905" s="2" t="s">
        <v>561</v>
      </c>
      <c r="H905" s="10">
        <v>-13.88</v>
      </c>
      <c r="I905" s="7">
        <v>11.55</v>
      </c>
      <c r="J905" s="7">
        <v>2.36</v>
      </c>
      <c r="K905" s="2" t="s">
        <v>901</v>
      </c>
      <c r="L905" s="16" t="s">
        <v>919</v>
      </c>
      <c r="M905" s="4" t="s">
        <v>563</v>
      </c>
      <c r="N905" s="2" t="s">
        <v>564</v>
      </c>
      <c r="O905" s="2" t="s">
        <v>568</v>
      </c>
      <c r="P905" s="2" t="s">
        <v>571</v>
      </c>
      <c r="Q905" s="1" t="s">
        <v>179</v>
      </c>
      <c r="R905" s="2" t="s">
        <v>584</v>
      </c>
      <c r="S905" s="8">
        <f>B905+5</f>
        <v>40224</v>
      </c>
    </row>
    <row r="906" spans="1:19" x14ac:dyDescent="0.15">
      <c r="A906" s="1">
        <v>47329</v>
      </c>
      <c r="B906" s="6">
        <f>DATE(2012,12,31)-1055</f>
        <v>40219</v>
      </c>
      <c r="C906" s="2" t="s">
        <v>916</v>
      </c>
      <c r="D906" s="1">
        <v>16</v>
      </c>
      <c r="E906" s="1">
        <v>88.19</v>
      </c>
      <c r="F906" s="1">
        <v>0.03</v>
      </c>
      <c r="G906" s="2" t="s">
        <v>560</v>
      </c>
      <c r="H906" s="10">
        <v>-25.97</v>
      </c>
      <c r="I906" s="7">
        <v>4.9800000000000004</v>
      </c>
      <c r="J906" s="7">
        <v>4.72</v>
      </c>
      <c r="K906" s="2" t="s">
        <v>901</v>
      </c>
      <c r="L906" s="16" t="s">
        <v>919</v>
      </c>
      <c r="M906" s="4" t="s">
        <v>563</v>
      </c>
      <c r="N906" s="2" t="s">
        <v>564</v>
      </c>
      <c r="O906" s="2" t="s">
        <v>568</v>
      </c>
      <c r="P906" s="2" t="s">
        <v>573</v>
      </c>
      <c r="Q906" s="1" t="s">
        <v>1</v>
      </c>
      <c r="R906" s="2" t="s">
        <v>585</v>
      </c>
      <c r="S906" s="8">
        <f>B906+9</f>
        <v>40228</v>
      </c>
    </row>
    <row r="907" spans="1:19" x14ac:dyDescent="0.15">
      <c r="A907" s="1">
        <v>47461</v>
      </c>
      <c r="B907" s="6">
        <f>DATE(2012,12,31)-981</f>
        <v>40293</v>
      </c>
      <c r="C907" s="2" t="s">
        <v>913</v>
      </c>
      <c r="D907" s="1">
        <v>39</v>
      </c>
      <c r="E907" s="1">
        <v>318.27999999999997</v>
      </c>
      <c r="F907" s="1">
        <v>0.08</v>
      </c>
      <c r="G907" s="2" t="s">
        <v>560</v>
      </c>
      <c r="H907" s="10">
        <v>114.95</v>
      </c>
      <c r="I907" s="7">
        <v>8.17</v>
      </c>
      <c r="J907" s="7">
        <v>1.69</v>
      </c>
      <c r="K907" s="2" t="s">
        <v>787</v>
      </c>
      <c r="L907" s="16" t="s">
        <v>919</v>
      </c>
      <c r="M907" s="4" t="s">
        <v>563</v>
      </c>
      <c r="N907" s="2" t="s">
        <v>565</v>
      </c>
      <c r="O907" s="2" t="s">
        <v>568</v>
      </c>
      <c r="P907" s="2" t="s">
        <v>573</v>
      </c>
      <c r="Q907" s="1" t="s">
        <v>316</v>
      </c>
      <c r="R907" s="2" t="s">
        <v>584</v>
      </c>
      <c r="S907" s="8">
        <f>B907+1</f>
        <v>40294</v>
      </c>
    </row>
    <row r="908" spans="1:19" x14ac:dyDescent="0.15">
      <c r="A908" s="1">
        <v>47461</v>
      </c>
      <c r="B908" s="6">
        <f>DATE(2012,12,31)-981</f>
        <v>40293</v>
      </c>
      <c r="C908" s="2" t="s">
        <v>913</v>
      </c>
      <c r="D908" s="1">
        <v>34</v>
      </c>
      <c r="E908" s="1">
        <v>289.52999999999997</v>
      </c>
      <c r="F908" s="1">
        <v>0.08</v>
      </c>
      <c r="G908" s="2" t="s">
        <v>561</v>
      </c>
      <c r="H908" s="10">
        <v>46.970999999999997</v>
      </c>
      <c r="I908" s="7">
        <v>8.69</v>
      </c>
      <c r="J908" s="7">
        <v>2.99</v>
      </c>
      <c r="K908" s="2" t="s">
        <v>787</v>
      </c>
      <c r="L908" s="16" t="s">
        <v>919</v>
      </c>
      <c r="M908" s="4" t="s">
        <v>563</v>
      </c>
      <c r="N908" s="2" t="s">
        <v>565</v>
      </c>
      <c r="O908" s="2" t="s">
        <v>568</v>
      </c>
      <c r="P908" s="2" t="s">
        <v>88</v>
      </c>
      <c r="Q908" s="1" t="s">
        <v>552</v>
      </c>
      <c r="R908" s="2" t="s">
        <v>585</v>
      </c>
      <c r="S908" s="8">
        <f>B908+1</f>
        <v>40294</v>
      </c>
    </row>
    <row r="909" spans="1:19" x14ac:dyDescent="0.15">
      <c r="A909" s="1">
        <v>47461</v>
      </c>
      <c r="B909" s="6">
        <f>DATE(2012,12,31)-981</f>
        <v>40293</v>
      </c>
      <c r="C909" s="2" t="s">
        <v>913</v>
      </c>
      <c r="D909" s="1">
        <v>45</v>
      </c>
      <c r="E909" s="1">
        <v>322.8</v>
      </c>
      <c r="F909" s="1">
        <v>0.06</v>
      </c>
      <c r="G909" s="2" t="s">
        <v>560</v>
      </c>
      <c r="H909" s="10">
        <v>53.15</v>
      </c>
      <c r="I909" s="7">
        <v>7.08</v>
      </c>
      <c r="J909" s="7">
        <v>2.35</v>
      </c>
      <c r="K909" s="2" t="s">
        <v>787</v>
      </c>
      <c r="L909" s="16" t="s">
        <v>919</v>
      </c>
      <c r="M909" s="4" t="s">
        <v>563</v>
      </c>
      <c r="N909" s="2" t="s">
        <v>565</v>
      </c>
      <c r="O909" s="2" t="s">
        <v>568</v>
      </c>
      <c r="P909" s="2" t="s">
        <v>571</v>
      </c>
      <c r="Q909" s="1" t="s">
        <v>436</v>
      </c>
      <c r="R909" s="2" t="s">
        <v>584</v>
      </c>
      <c r="S909" s="8">
        <f>B909+2</f>
        <v>40295</v>
      </c>
    </row>
    <row r="910" spans="1:19" x14ac:dyDescent="0.15">
      <c r="A910" s="1">
        <v>47525</v>
      </c>
      <c r="B910" s="6">
        <f>DATE(2012,12,31)-669</f>
        <v>40605</v>
      </c>
      <c r="C910" s="2" t="s">
        <v>914</v>
      </c>
      <c r="D910" s="1">
        <v>40</v>
      </c>
      <c r="E910" s="1">
        <v>649.46</v>
      </c>
      <c r="F910" s="1">
        <v>0.01</v>
      </c>
      <c r="G910" s="2" t="s">
        <v>560</v>
      </c>
      <c r="H910" s="10">
        <v>189.04</v>
      </c>
      <c r="I910" s="7">
        <v>15.98</v>
      </c>
      <c r="J910" s="7">
        <v>4</v>
      </c>
      <c r="K910" s="2" t="s">
        <v>803</v>
      </c>
      <c r="L910" s="16" t="s">
        <v>919</v>
      </c>
      <c r="M910" s="4" t="s">
        <v>563</v>
      </c>
      <c r="N910" s="2" t="s">
        <v>565</v>
      </c>
      <c r="O910" s="2" t="s">
        <v>569</v>
      </c>
      <c r="P910" s="2" t="s">
        <v>572</v>
      </c>
      <c r="Q910" s="1" t="s">
        <v>490</v>
      </c>
      <c r="R910" s="2" t="s">
        <v>585</v>
      </c>
      <c r="S910" s="8">
        <f t="shared" ref="S910:S915" si="7">B910+1</f>
        <v>40606</v>
      </c>
    </row>
    <row r="911" spans="1:19" x14ac:dyDescent="0.15">
      <c r="A911" s="1">
        <v>48803</v>
      </c>
      <c r="B911" s="6">
        <f>DATE(2012,12,31)-52</f>
        <v>41222</v>
      </c>
      <c r="C911" s="2" t="s">
        <v>917</v>
      </c>
      <c r="D911" s="1">
        <v>19</v>
      </c>
      <c r="E911" s="1">
        <v>200.41</v>
      </c>
      <c r="F911" s="1">
        <v>0.05</v>
      </c>
      <c r="G911" s="2" t="s">
        <v>560</v>
      </c>
      <c r="H911" s="10">
        <v>-23.65</v>
      </c>
      <c r="I911" s="7">
        <v>10.23</v>
      </c>
      <c r="J911" s="7">
        <v>4.68</v>
      </c>
      <c r="K911" s="2" t="s">
        <v>787</v>
      </c>
      <c r="L911" s="16" t="s">
        <v>919</v>
      </c>
      <c r="M911" s="4" t="s">
        <v>563</v>
      </c>
      <c r="N911" s="2" t="s">
        <v>564</v>
      </c>
      <c r="O911" s="2" t="s">
        <v>568</v>
      </c>
      <c r="P911" s="2" t="s">
        <v>89</v>
      </c>
      <c r="Q911" s="1" t="s">
        <v>502</v>
      </c>
      <c r="R911" s="2" t="s">
        <v>587</v>
      </c>
      <c r="S911" s="8">
        <f t="shared" si="7"/>
        <v>41223</v>
      </c>
    </row>
    <row r="912" spans="1:19" x14ac:dyDescent="0.15">
      <c r="A912" s="1">
        <v>49027</v>
      </c>
      <c r="B912" s="6">
        <f>DATE(2012,12,31)-630</f>
        <v>40644</v>
      </c>
      <c r="C912" s="2" t="s">
        <v>913</v>
      </c>
      <c r="D912" s="1">
        <v>41</v>
      </c>
      <c r="E912" s="1">
        <v>708.83</v>
      </c>
      <c r="F912" s="1">
        <v>0.08</v>
      </c>
      <c r="G912" s="2" t="s">
        <v>560</v>
      </c>
      <c r="H912" s="10">
        <v>35.08</v>
      </c>
      <c r="I912" s="7">
        <v>17.670000000000002</v>
      </c>
      <c r="J912" s="7">
        <v>8.99</v>
      </c>
      <c r="K912" s="2" t="s">
        <v>844</v>
      </c>
      <c r="L912" s="16" t="s">
        <v>919</v>
      </c>
      <c r="M912" s="4" t="s">
        <v>563</v>
      </c>
      <c r="N912" s="2" t="s">
        <v>564</v>
      </c>
      <c r="O912" s="2" t="s">
        <v>570</v>
      </c>
      <c r="P912" s="2" t="s">
        <v>579</v>
      </c>
      <c r="Q912" s="1" t="s">
        <v>666</v>
      </c>
      <c r="R912" s="2" t="s">
        <v>587</v>
      </c>
      <c r="S912" s="8">
        <f t="shared" si="7"/>
        <v>40645</v>
      </c>
    </row>
    <row r="913" spans="1:19" x14ac:dyDescent="0.15">
      <c r="A913" s="1">
        <v>50822</v>
      </c>
      <c r="B913" s="6">
        <f>DATE(2012,12,31)-328</f>
        <v>40946</v>
      </c>
      <c r="C913" s="2" t="s">
        <v>914</v>
      </c>
      <c r="D913" s="1">
        <v>6</v>
      </c>
      <c r="E913" s="1">
        <v>1635.29</v>
      </c>
      <c r="F913" s="1">
        <v>0.1</v>
      </c>
      <c r="G913" s="2" t="s">
        <v>560</v>
      </c>
      <c r="H913" s="10">
        <v>7.9200000000000728</v>
      </c>
      <c r="I913" s="7">
        <v>276.2</v>
      </c>
      <c r="J913" s="7">
        <v>24.49</v>
      </c>
      <c r="K913" s="2" t="s">
        <v>876</v>
      </c>
      <c r="L913" s="16" t="s">
        <v>919</v>
      </c>
      <c r="M913" s="4" t="s">
        <v>563</v>
      </c>
      <c r="N913" s="2" t="s">
        <v>565</v>
      </c>
      <c r="O913" s="2" t="s">
        <v>570</v>
      </c>
      <c r="P913" s="2" t="s">
        <v>574</v>
      </c>
      <c r="Q913" s="1" t="s">
        <v>171</v>
      </c>
      <c r="R913" s="2" t="s">
        <v>590</v>
      </c>
      <c r="S913" s="8">
        <f t="shared" si="7"/>
        <v>40947</v>
      </c>
    </row>
    <row r="914" spans="1:19" x14ac:dyDescent="0.15">
      <c r="A914" s="1">
        <v>50822</v>
      </c>
      <c r="B914" s="6">
        <f>DATE(2012,12,31)-328</f>
        <v>40946</v>
      </c>
      <c r="C914" s="2" t="s">
        <v>914</v>
      </c>
      <c r="D914" s="1">
        <v>37</v>
      </c>
      <c r="E914" s="1">
        <v>316.35000000000002</v>
      </c>
      <c r="F914" s="1">
        <v>0.01</v>
      </c>
      <c r="G914" s="2" t="s">
        <v>561</v>
      </c>
      <c r="H914" s="10">
        <v>-52.18</v>
      </c>
      <c r="I914" s="7">
        <v>8.1199999999999992</v>
      </c>
      <c r="J914" s="7">
        <v>2.83</v>
      </c>
      <c r="K914" s="2" t="s">
        <v>876</v>
      </c>
      <c r="L914" s="16" t="s">
        <v>919</v>
      </c>
      <c r="M914" s="4" t="s">
        <v>563</v>
      </c>
      <c r="N914" s="2" t="s">
        <v>565</v>
      </c>
      <c r="O914" s="2" t="s">
        <v>569</v>
      </c>
      <c r="P914" s="2" t="s">
        <v>572</v>
      </c>
      <c r="Q914" s="1" t="s">
        <v>169</v>
      </c>
      <c r="R914" s="2" t="s">
        <v>587</v>
      </c>
      <c r="S914" s="8">
        <f t="shared" si="7"/>
        <v>40947</v>
      </c>
    </row>
    <row r="915" spans="1:19" x14ac:dyDescent="0.15">
      <c r="A915" s="1">
        <v>51714</v>
      </c>
      <c r="B915" s="6">
        <f>DATE(2012,12,31)-1213</f>
        <v>40061</v>
      </c>
      <c r="C915" s="2" t="s">
        <v>915</v>
      </c>
      <c r="D915" s="1">
        <v>33</v>
      </c>
      <c r="E915" s="1">
        <v>194.09</v>
      </c>
      <c r="F915" s="1">
        <v>0.03</v>
      </c>
      <c r="G915" s="2" t="s">
        <v>560</v>
      </c>
      <c r="H915" s="10">
        <v>-63.35</v>
      </c>
      <c r="I915" s="7">
        <v>5.78</v>
      </c>
      <c r="J915" s="7">
        <v>5.37</v>
      </c>
      <c r="K915" s="2" t="s">
        <v>764</v>
      </c>
      <c r="L915" s="16" t="s">
        <v>919</v>
      </c>
      <c r="M915" s="4" t="s">
        <v>563</v>
      </c>
      <c r="N915" s="2" t="s">
        <v>564</v>
      </c>
      <c r="O915" s="2" t="s">
        <v>568</v>
      </c>
      <c r="P915" s="2" t="s">
        <v>573</v>
      </c>
      <c r="Q915" s="1" t="s">
        <v>700</v>
      </c>
      <c r="R915" s="2" t="s">
        <v>585</v>
      </c>
      <c r="S915" s="8">
        <f t="shared" si="7"/>
        <v>40062</v>
      </c>
    </row>
    <row r="916" spans="1:19" x14ac:dyDescent="0.15">
      <c r="A916" s="1">
        <v>51815</v>
      </c>
      <c r="B916" s="6">
        <f>DATE(2012,12,31)-1315</f>
        <v>39959</v>
      </c>
      <c r="C916" s="2" t="s">
        <v>916</v>
      </c>
      <c r="D916" s="1">
        <v>37</v>
      </c>
      <c r="E916" s="1">
        <v>227.5</v>
      </c>
      <c r="F916" s="1">
        <v>0.01</v>
      </c>
      <c r="G916" s="2" t="s">
        <v>560</v>
      </c>
      <c r="H916" s="10">
        <v>-256.51900000000001</v>
      </c>
      <c r="I916" s="7">
        <v>5.94</v>
      </c>
      <c r="J916" s="7">
        <v>9.92</v>
      </c>
      <c r="K916" s="2" t="s">
        <v>803</v>
      </c>
      <c r="L916" s="16" t="s">
        <v>919</v>
      </c>
      <c r="M916" s="4" t="s">
        <v>563</v>
      </c>
      <c r="N916" s="2" t="s">
        <v>565</v>
      </c>
      <c r="O916" s="2" t="s">
        <v>568</v>
      </c>
      <c r="P916" s="2" t="s">
        <v>88</v>
      </c>
      <c r="Q916" s="1" t="s">
        <v>376</v>
      </c>
      <c r="R916" s="2" t="s">
        <v>585</v>
      </c>
      <c r="S916" s="8">
        <f>B916+7</f>
        <v>39966</v>
      </c>
    </row>
    <row r="917" spans="1:19" x14ac:dyDescent="0.15">
      <c r="A917" s="1">
        <v>51815</v>
      </c>
      <c r="B917" s="6">
        <f>DATE(2012,12,31)-1315</f>
        <v>39959</v>
      </c>
      <c r="C917" s="2" t="s">
        <v>916</v>
      </c>
      <c r="D917" s="1">
        <v>21</v>
      </c>
      <c r="E917" s="1">
        <v>2292.1015000000002</v>
      </c>
      <c r="F917" s="1">
        <v>0.02</v>
      </c>
      <c r="G917" s="2" t="s">
        <v>560</v>
      </c>
      <c r="H917" s="10">
        <v>398.358</v>
      </c>
      <c r="I917" s="7">
        <v>125.99</v>
      </c>
      <c r="J917" s="7">
        <v>3</v>
      </c>
      <c r="K917" s="2" t="s">
        <v>803</v>
      </c>
      <c r="L917" s="16" t="s">
        <v>919</v>
      </c>
      <c r="M917" s="4" t="s">
        <v>563</v>
      </c>
      <c r="N917" s="2" t="s">
        <v>565</v>
      </c>
      <c r="O917" s="2" t="s">
        <v>569</v>
      </c>
      <c r="P917" s="2" t="s">
        <v>87</v>
      </c>
      <c r="Q917" s="1" t="s">
        <v>241</v>
      </c>
      <c r="R917" s="2" t="s">
        <v>585</v>
      </c>
      <c r="S917" s="8">
        <f>B917+0</f>
        <v>39959</v>
      </c>
    </row>
    <row r="918" spans="1:19" x14ac:dyDescent="0.15">
      <c r="A918" s="1">
        <v>51906</v>
      </c>
      <c r="B918" s="6">
        <f>DATE(2012,12,31)-487</f>
        <v>40787</v>
      </c>
      <c r="C918" s="2" t="s">
        <v>913</v>
      </c>
      <c r="D918" s="1">
        <v>24</v>
      </c>
      <c r="E918" s="1">
        <v>206.34</v>
      </c>
      <c r="F918" s="1">
        <v>0.04</v>
      </c>
      <c r="G918" s="2" t="s">
        <v>560</v>
      </c>
      <c r="H918" s="10">
        <v>-38.229999999999997</v>
      </c>
      <c r="I918" s="7">
        <v>8.4600000000000009</v>
      </c>
      <c r="J918" s="7">
        <v>3.62</v>
      </c>
      <c r="K918" s="2" t="s">
        <v>885</v>
      </c>
      <c r="L918" s="16" t="s">
        <v>919</v>
      </c>
      <c r="M918" s="4" t="s">
        <v>563</v>
      </c>
      <c r="N918" s="2" t="s">
        <v>564</v>
      </c>
      <c r="O918" s="2" t="s">
        <v>569</v>
      </c>
      <c r="P918" s="2" t="s">
        <v>572</v>
      </c>
      <c r="Q918" s="1" t="s">
        <v>260</v>
      </c>
      <c r="R918" s="2" t="s">
        <v>587</v>
      </c>
      <c r="S918" s="8">
        <f>B918+1</f>
        <v>40788</v>
      </c>
    </row>
    <row r="919" spans="1:19" x14ac:dyDescent="0.15">
      <c r="A919" s="1">
        <v>52128</v>
      </c>
      <c r="B919" s="6">
        <f>DATE(2012,12,31)-770</f>
        <v>40504</v>
      </c>
      <c r="C919" s="2" t="s">
        <v>915</v>
      </c>
      <c r="D919" s="1">
        <v>11</v>
      </c>
      <c r="E919" s="1">
        <v>13.52</v>
      </c>
      <c r="F919" s="1">
        <v>0.03</v>
      </c>
      <c r="G919" s="2" t="s">
        <v>560</v>
      </c>
      <c r="H919" s="10">
        <v>-27.66</v>
      </c>
      <c r="I919" s="7">
        <v>0.99</v>
      </c>
      <c r="J919" s="7">
        <v>2.96</v>
      </c>
      <c r="K919" s="2" t="s">
        <v>768</v>
      </c>
      <c r="L919" s="16" t="s">
        <v>919</v>
      </c>
      <c r="M919" s="4" t="s">
        <v>563</v>
      </c>
      <c r="N919" s="2" t="s">
        <v>566</v>
      </c>
      <c r="O919" s="2" t="s">
        <v>569</v>
      </c>
      <c r="P919" s="2" t="s">
        <v>572</v>
      </c>
      <c r="Q919" s="1" t="s">
        <v>81</v>
      </c>
      <c r="R919" s="2" t="s">
        <v>587</v>
      </c>
      <c r="S919" s="8">
        <f>B919+1</f>
        <v>40505</v>
      </c>
    </row>
    <row r="920" spans="1:19" x14ac:dyDescent="0.15">
      <c r="A920" s="1">
        <v>52675</v>
      </c>
      <c r="B920" s="6">
        <f>DATE(2012,12,31)-448</f>
        <v>40826</v>
      </c>
      <c r="C920" s="2" t="s">
        <v>914</v>
      </c>
      <c r="D920" s="1">
        <v>4</v>
      </c>
      <c r="E920" s="1">
        <v>20.25</v>
      </c>
      <c r="F920" s="1">
        <v>0.1</v>
      </c>
      <c r="G920" s="2" t="s">
        <v>560</v>
      </c>
      <c r="H920" s="10">
        <v>-22.13</v>
      </c>
      <c r="I920" s="7">
        <v>4.7699999999999996</v>
      </c>
      <c r="J920" s="7">
        <v>2.39</v>
      </c>
      <c r="K920" s="2" t="s">
        <v>787</v>
      </c>
      <c r="L920" s="16" t="s">
        <v>919</v>
      </c>
      <c r="M920" s="4" t="s">
        <v>563</v>
      </c>
      <c r="N920" s="2" t="s">
        <v>565</v>
      </c>
      <c r="O920" s="2" t="s">
        <v>569</v>
      </c>
      <c r="P920" s="2" t="s">
        <v>572</v>
      </c>
      <c r="Q920" s="1" t="s">
        <v>738</v>
      </c>
      <c r="R920" s="2" t="s">
        <v>587</v>
      </c>
      <c r="S920" s="8">
        <f>B920+2</f>
        <v>40828</v>
      </c>
    </row>
    <row r="921" spans="1:19" x14ac:dyDescent="0.15">
      <c r="A921" s="1">
        <v>52675</v>
      </c>
      <c r="B921" s="6">
        <f>DATE(2012,12,31)-448</f>
        <v>40826</v>
      </c>
      <c r="C921" s="2" t="s">
        <v>914</v>
      </c>
      <c r="D921" s="1">
        <v>22</v>
      </c>
      <c r="E921" s="1">
        <v>52.62</v>
      </c>
      <c r="F921" s="1">
        <v>0.01</v>
      </c>
      <c r="G921" s="2" t="s">
        <v>560</v>
      </c>
      <c r="H921" s="10">
        <v>-4.6399999999999997</v>
      </c>
      <c r="I921" s="7">
        <v>2.21</v>
      </c>
      <c r="J921" s="7">
        <v>1.1200000000000001</v>
      </c>
      <c r="K921" s="2" t="s">
        <v>787</v>
      </c>
      <c r="L921" s="16" t="s">
        <v>919</v>
      </c>
      <c r="M921" s="4" t="s">
        <v>563</v>
      </c>
      <c r="N921" s="2" t="s">
        <v>565</v>
      </c>
      <c r="O921" s="2" t="s">
        <v>568</v>
      </c>
      <c r="P921" s="2" t="s">
        <v>571</v>
      </c>
      <c r="Q921" s="1" t="s">
        <v>144</v>
      </c>
      <c r="R921" s="2" t="s">
        <v>584</v>
      </c>
      <c r="S921" s="8">
        <f>B921+2</f>
        <v>40828</v>
      </c>
    </row>
    <row r="922" spans="1:19" x14ac:dyDescent="0.15">
      <c r="A922" s="1">
        <v>53189</v>
      </c>
      <c r="B922" s="6">
        <f>DATE(2012,12,31)-496</f>
        <v>40778</v>
      </c>
      <c r="C922" s="2" t="s">
        <v>917</v>
      </c>
      <c r="D922" s="1">
        <v>29</v>
      </c>
      <c r="E922" s="1">
        <v>214.19</v>
      </c>
      <c r="F922" s="1">
        <v>0</v>
      </c>
      <c r="G922" s="2" t="s">
        <v>561</v>
      </c>
      <c r="H922" s="10">
        <v>-40.56</v>
      </c>
      <c r="I922" s="7">
        <v>6.48</v>
      </c>
      <c r="J922" s="7">
        <v>5.94</v>
      </c>
      <c r="K922" s="2" t="s">
        <v>817</v>
      </c>
      <c r="L922" s="16" t="s">
        <v>919</v>
      </c>
      <c r="M922" s="4" t="s">
        <v>563</v>
      </c>
      <c r="N922" s="2" t="s">
        <v>567</v>
      </c>
      <c r="O922" s="2" t="s">
        <v>568</v>
      </c>
      <c r="P922" s="2" t="s">
        <v>573</v>
      </c>
      <c r="Q922" s="1" t="s">
        <v>7</v>
      </c>
      <c r="R922" s="2" t="s">
        <v>585</v>
      </c>
      <c r="S922" s="8">
        <f>B922+0</f>
        <v>40778</v>
      </c>
    </row>
    <row r="923" spans="1:19" x14ac:dyDescent="0.15">
      <c r="A923" s="1">
        <v>54307</v>
      </c>
      <c r="B923" s="6">
        <f>DATE(2012,12,31)-358</f>
        <v>40916</v>
      </c>
      <c r="C923" s="2" t="s">
        <v>913</v>
      </c>
      <c r="D923" s="1">
        <v>41</v>
      </c>
      <c r="E923" s="1">
        <v>198.29</v>
      </c>
      <c r="F923" s="1">
        <v>0.08</v>
      </c>
      <c r="G923" s="2" t="s">
        <v>560</v>
      </c>
      <c r="H923" s="10">
        <v>-134.41200000000001</v>
      </c>
      <c r="I923" s="7">
        <v>4.91</v>
      </c>
      <c r="J923" s="7">
        <v>5.68</v>
      </c>
      <c r="K923" s="2" t="s">
        <v>764</v>
      </c>
      <c r="L923" s="16" t="s">
        <v>919</v>
      </c>
      <c r="M923" s="4" t="s">
        <v>563</v>
      </c>
      <c r="N923" s="2" t="s">
        <v>567</v>
      </c>
      <c r="O923" s="2" t="s">
        <v>568</v>
      </c>
      <c r="P923" s="2" t="s">
        <v>88</v>
      </c>
      <c r="Q923" s="1" t="s">
        <v>302</v>
      </c>
      <c r="R923" s="2" t="s">
        <v>585</v>
      </c>
      <c r="S923" s="8">
        <f>B923+1</f>
        <v>40917</v>
      </c>
    </row>
    <row r="924" spans="1:19" x14ac:dyDescent="0.15">
      <c r="A924" s="1">
        <v>54917</v>
      </c>
      <c r="B924" s="6">
        <f>DATE(2012,12,31)-997</f>
        <v>40277</v>
      </c>
      <c r="C924" s="2" t="s">
        <v>913</v>
      </c>
      <c r="D924" s="1">
        <v>12</v>
      </c>
      <c r="E924" s="1">
        <v>6034.68</v>
      </c>
      <c r="F924" s="1">
        <v>0.06</v>
      </c>
      <c r="G924" s="2" t="s">
        <v>560</v>
      </c>
      <c r="H924" s="10">
        <v>-517.08000000000004</v>
      </c>
      <c r="I924" s="7">
        <v>499.99</v>
      </c>
      <c r="J924" s="7">
        <v>24.49</v>
      </c>
      <c r="K924" s="2" t="s">
        <v>803</v>
      </c>
      <c r="L924" s="16" t="s">
        <v>919</v>
      </c>
      <c r="M924" s="4" t="s">
        <v>563</v>
      </c>
      <c r="N924" s="2" t="s">
        <v>565</v>
      </c>
      <c r="O924" s="2" t="s">
        <v>569</v>
      </c>
      <c r="P924" s="2" t="s">
        <v>90</v>
      </c>
      <c r="Q924" s="1" t="s">
        <v>276</v>
      </c>
      <c r="R924" s="2" t="s">
        <v>590</v>
      </c>
      <c r="S924" s="8">
        <f>B924+1</f>
        <v>40278</v>
      </c>
    </row>
    <row r="925" spans="1:19" x14ac:dyDescent="0.15">
      <c r="A925" s="1">
        <v>56930</v>
      </c>
      <c r="B925" s="6">
        <f>DATE(2012,12,31)-136</f>
        <v>41138</v>
      </c>
      <c r="C925" s="2" t="s">
        <v>916</v>
      </c>
      <c r="D925" s="1">
        <v>47</v>
      </c>
      <c r="E925" s="1">
        <v>228.31</v>
      </c>
      <c r="F925" s="1">
        <v>0.03</v>
      </c>
      <c r="G925" s="2" t="s">
        <v>560</v>
      </c>
      <c r="H925" s="10">
        <v>8.89</v>
      </c>
      <c r="I925" s="7">
        <v>4.71</v>
      </c>
      <c r="J925" s="7">
        <v>0.7</v>
      </c>
      <c r="K925" s="2" t="s">
        <v>911</v>
      </c>
      <c r="L925" s="16" t="s">
        <v>919</v>
      </c>
      <c r="M925" s="4" t="s">
        <v>563</v>
      </c>
      <c r="N925" s="2" t="s">
        <v>564</v>
      </c>
      <c r="O925" s="2" t="s">
        <v>568</v>
      </c>
      <c r="P925" s="2" t="s">
        <v>580</v>
      </c>
      <c r="Q925" s="1" t="s">
        <v>739</v>
      </c>
      <c r="R925" s="2" t="s">
        <v>584</v>
      </c>
      <c r="S925" s="8">
        <f>B925+7</f>
        <v>41145</v>
      </c>
    </row>
    <row r="926" spans="1:19" x14ac:dyDescent="0.15">
      <c r="A926" s="1">
        <v>57511</v>
      </c>
      <c r="B926" s="6">
        <f>DATE(2012,12,31)-1182</f>
        <v>40092</v>
      </c>
      <c r="C926" s="2" t="s">
        <v>917</v>
      </c>
      <c r="D926" s="1">
        <v>32</v>
      </c>
      <c r="E926" s="1">
        <v>98.46</v>
      </c>
      <c r="F926" s="1">
        <v>0.01</v>
      </c>
      <c r="G926" s="2" t="s">
        <v>560</v>
      </c>
      <c r="H926" s="10">
        <v>41.54</v>
      </c>
      <c r="I926" s="7">
        <v>2.89</v>
      </c>
      <c r="J926" s="7">
        <v>0.5</v>
      </c>
      <c r="K926" s="2" t="s">
        <v>817</v>
      </c>
      <c r="L926" s="16" t="s">
        <v>919</v>
      </c>
      <c r="M926" s="4" t="s">
        <v>563</v>
      </c>
      <c r="N926" s="2" t="s">
        <v>567</v>
      </c>
      <c r="O926" s="2" t="s">
        <v>568</v>
      </c>
      <c r="P926" s="2" t="s">
        <v>582</v>
      </c>
      <c r="Q926" s="1" t="s">
        <v>321</v>
      </c>
      <c r="R926" s="2" t="s">
        <v>585</v>
      </c>
      <c r="S926" s="8">
        <f>B926+1</f>
        <v>40093</v>
      </c>
    </row>
    <row r="927" spans="1:19" x14ac:dyDescent="0.15">
      <c r="A927" s="1">
        <v>57511</v>
      </c>
      <c r="B927" s="6">
        <f>DATE(2012,12,31)-1182</f>
        <v>40092</v>
      </c>
      <c r="C927" s="2" t="s">
        <v>917</v>
      </c>
      <c r="D927" s="1">
        <v>11</v>
      </c>
      <c r="E927" s="1">
        <v>569.63599999999997</v>
      </c>
      <c r="F927" s="1">
        <v>0</v>
      </c>
      <c r="G927" s="2" t="s">
        <v>560</v>
      </c>
      <c r="H927" s="10">
        <v>-173.25</v>
      </c>
      <c r="I927" s="7">
        <v>55.99</v>
      </c>
      <c r="J927" s="7">
        <v>5</v>
      </c>
      <c r="K927" s="2" t="s">
        <v>817</v>
      </c>
      <c r="L927" s="16" t="s">
        <v>919</v>
      </c>
      <c r="M927" s="4" t="s">
        <v>563</v>
      </c>
      <c r="N927" s="2" t="s">
        <v>567</v>
      </c>
      <c r="O927" s="2" t="s">
        <v>569</v>
      </c>
      <c r="P927" s="2" t="s">
        <v>87</v>
      </c>
      <c r="Q927" s="1" t="s">
        <v>159</v>
      </c>
      <c r="R927" s="2" t="s">
        <v>587</v>
      </c>
      <c r="S927" s="8">
        <f>B927+2</f>
        <v>40094</v>
      </c>
    </row>
    <row r="928" spans="1:19" x14ac:dyDescent="0.15">
      <c r="A928" s="1">
        <v>57857</v>
      </c>
      <c r="B928" s="6">
        <f>DATE(2012,12,31)-975</f>
        <v>40299</v>
      </c>
      <c r="C928" s="2" t="s">
        <v>913</v>
      </c>
      <c r="D928" s="1">
        <v>18</v>
      </c>
      <c r="E928" s="1">
        <v>314.95999999999998</v>
      </c>
      <c r="F928" s="1">
        <v>0.1</v>
      </c>
      <c r="G928" s="2" t="s">
        <v>560</v>
      </c>
      <c r="H928" s="10">
        <v>153.47999999999999</v>
      </c>
      <c r="I928" s="7">
        <v>18.649999999999999</v>
      </c>
      <c r="J928" s="7">
        <v>3.77</v>
      </c>
      <c r="K928" s="2" t="s">
        <v>803</v>
      </c>
      <c r="L928" s="16" t="s">
        <v>919</v>
      </c>
      <c r="M928" s="4" t="s">
        <v>563</v>
      </c>
      <c r="N928" s="2" t="s">
        <v>565</v>
      </c>
      <c r="O928" s="2" t="s">
        <v>570</v>
      </c>
      <c r="P928" s="2" t="s">
        <v>579</v>
      </c>
      <c r="Q928" s="1" t="s">
        <v>112</v>
      </c>
      <c r="R928" s="2" t="s">
        <v>587</v>
      </c>
      <c r="S928" s="8">
        <f>B928+0</f>
        <v>40299</v>
      </c>
    </row>
    <row r="929" spans="1:19" x14ac:dyDescent="0.15">
      <c r="A929" s="1">
        <v>57861</v>
      </c>
      <c r="B929" s="6">
        <f>DATE(2012,12,31)-67</f>
        <v>41207</v>
      </c>
      <c r="C929" s="2" t="s">
        <v>914</v>
      </c>
      <c r="D929" s="1">
        <v>40</v>
      </c>
      <c r="E929" s="1">
        <v>120.15</v>
      </c>
      <c r="F929" s="1">
        <v>0</v>
      </c>
      <c r="G929" s="2" t="s">
        <v>560</v>
      </c>
      <c r="H929" s="10">
        <v>11.322000000000001</v>
      </c>
      <c r="I929" s="7">
        <v>2.88</v>
      </c>
      <c r="J929" s="7">
        <v>1.49</v>
      </c>
      <c r="K929" s="2" t="s">
        <v>803</v>
      </c>
      <c r="L929" s="16" t="s">
        <v>919</v>
      </c>
      <c r="M929" s="4" t="s">
        <v>563</v>
      </c>
      <c r="N929" s="2" t="s">
        <v>565</v>
      </c>
      <c r="O929" s="2" t="s">
        <v>568</v>
      </c>
      <c r="P929" s="2" t="s">
        <v>88</v>
      </c>
      <c r="Q929" s="1" t="s">
        <v>553</v>
      </c>
      <c r="R929" s="2" t="s">
        <v>585</v>
      </c>
      <c r="S929" s="8">
        <f>B929+2</f>
        <v>41209</v>
      </c>
    </row>
    <row r="930" spans="1:19" x14ac:dyDescent="0.15">
      <c r="A930" s="1">
        <v>58247</v>
      </c>
      <c r="B930" s="6">
        <f>DATE(2012,12,31)-465</f>
        <v>40809</v>
      </c>
      <c r="C930" s="2" t="s">
        <v>915</v>
      </c>
      <c r="D930" s="1">
        <v>8</v>
      </c>
      <c r="E930" s="1">
        <v>1058.82</v>
      </c>
      <c r="F930" s="1">
        <v>0.02</v>
      </c>
      <c r="G930" s="2" t="s">
        <v>560</v>
      </c>
      <c r="H930" s="10">
        <v>211.73</v>
      </c>
      <c r="I930" s="7">
        <v>131.12</v>
      </c>
      <c r="J930" s="7">
        <v>0.99</v>
      </c>
      <c r="K930" s="2" t="s">
        <v>787</v>
      </c>
      <c r="L930" s="16" t="s">
        <v>919</v>
      </c>
      <c r="M930" s="4" t="s">
        <v>563</v>
      </c>
      <c r="N930" s="2" t="s">
        <v>564</v>
      </c>
      <c r="O930" s="2" t="s">
        <v>568</v>
      </c>
      <c r="P930" s="2" t="s">
        <v>576</v>
      </c>
      <c r="Q930" s="1" t="s">
        <v>595</v>
      </c>
      <c r="R930" s="2" t="s">
        <v>585</v>
      </c>
      <c r="S930" s="8">
        <f>B930+0</f>
        <v>40809</v>
      </c>
    </row>
    <row r="931" spans="1:19" x14ac:dyDescent="0.15">
      <c r="A931" s="1">
        <v>58247</v>
      </c>
      <c r="B931" s="6">
        <f>DATE(2012,12,31)-465</f>
        <v>40809</v>
      </c>
      <c r="C931" s="2" t="s">
        <v>915</v>
      </c>
      <c r="D931" s="1">
        <v>14</v>
      </c>
      <c r="E931" s="1">
        <v>92.07</v>
      </c>
      <c r="F931" s="1">
        <v>0.09</v>
      </c>
      <c r="G931" s="2" t="s">
        <v>560</v>
      </c>
      <c r="H931" s="10">
        <v>-64.5</v>
      </c>
      <c r="I931" s="7">
        <v>6.48</v>
      </c>
      <c r="J931" s="7">
        <v>7.86</v>
      </c>
      <c r="K931" s="2" t="s">
        <v>787</v>
      </c>
      <c r="L931" s="16" t="s">
        <v>919</v>
      </c>
      <c r="M931" s="4" t="s">
        <v>563</v>
      </c>
      <c r="N931" s="2" t="s">
        <v>564</v>
      </c>
      <c r="O931" s="2" t="s">
        <v>568</v>
      </c>
      <c r="P931" s="2" t="s">
        <v>573</v>
      </c>
      <c r="Q931" s="1" t="s">
        <v>707</v>
      </c>
      <c r="R931" s="2" t="s">
        <v>585</v>
      </c>
      <c r="S931" s="8">
        <f>B931+2</f>
        <v>40811</v>
      </c>
    </row>
    <row r="932" spans="1:19" x14ac:dyDescent="0.15">
      <c r="A932" s="1">
        <v>58470</v>
      </c>
      <c r="B932" s="6">
        <f>DATE(2012,12,31)-572</f>
        <v>40702</v>
      </c>
      <c r="C932" s="2" t="s">
        <v>913</v>
      </c>
      <c r="D932" s="1">
        <v>24</v>
      </c>
      <c r="E932" s="1">
        <v>1811.55</v>
      </c>
      <c r="F932" s="1">
        <v>0.09</v>
      </c>
      <c r="G932" s="2" t="s">
        <v>560</v>
      </c>
      <c r="H932" s="10">
        <v>512.69000000000005</v>
      </c>
      <c r="I932" s="7">
        <v>81.319999999999993</v>
      </c>
      <c r="J932" s="7">
        <v>0.99</v>
      </c>
      <c r="K932" s="2" t="s">
        <v>859</v>
      </c>
      <c r="L932" s="16" t="s">
        <v>919</v>
      </c>
      <c r="M932" s="4" t="s">
        <v>563</v>
      </c>
      <c r="N932" s="2" t="s">
        <v>565</v>
      </c>
      <c r="O932" s="2" t="s">
        <v>568</v>
      </c>
      <c r="P932" s="2" t="s">
        <v>576</v>
      </c>
      <c r="Q932" s="1" t="s">
        <v>244</v>
      </c>
      <c r="R932" s="2" t="s">
        <v>585</v>
      </c>
      <c r="S932" s="8">
        <f>B932+1</f>
        <v>40703</v>
      </c>
    </row>
    <row r="933" spans="1:19" x14ac:dyDescent="0.15">
      <c r="A933" s="1">
        <v>58470</v>
      </c>
      <c r="B933" s="6">
        <f>DATE(2012,12,31)-572</f>
        <v>40702</v>
      </c>
      <c r="C933" s="2" t="s">
        <v>913</v>
      </c>
      <c r="D933" s="1">
        <v>13</v>
      </c>
      <c r="E933" s="1">
        <v>49.08</v>
      </c>
      <c r="F933" s="1">
        <v>0.06</v>
      </c>
      <c r="G933" s="2" t="s">
        <v>560</v>
      </c>
      <c r="H933" s="10">
        <v>-0.31</v>
      </c>
      <c r="I933" s="7">
        <v>3.71</v>
      </c>
      <c r="J933" s="7">
        <v>1.93</v>
      </c>
      <c r="K933" s="2" t="s">
        <v>859</v>
      </c>
      <c r="L933" s="16" t="s">
        <v>919</v>
      </c>
      <c r="M933" s="4" t="s">
        <v>563</v>
      </c>
      <c r="N933" s="2" t="s">
        <v>565</v>
      </c>
      <c r="O933" s="2" t="s">
        <v>568</v>
      </c>
      <c r="P933" s="2" t="s">
        <v>573</v>
      </c>
      <c r="Q933" s="1" t="s">
        <v>486</v>
      </c>
      <c r="R933" s="2" t="s">
        <v>584</v>
      </c>
      <c r="S933" s="8">
        <f>B933+0</f>
        <v>40702</v>
      </c>
    </row>
    <row r="934" spans="1:19" x14ac:dyDescent="0.15">
      <c r="A934" s="1">
        <v>58470</v>
      </c>
      <c r="B934" s="6">
        <f>DATE(2012,12,31)-572</f>
        <v>40702</v>
      </c>
      <c r="C934" s="2" t="s">
        <v>913</v>
      </c>
      <c r="D934" s="1">
        <v>36</v>
      </c>
      <c r="E934" s="1">
        <v>236.19</v>
      </c>
      <c r="F934" s="1">
        <v>0.06</v>
      </c>
      <c r="G934" s="2" t="s">
        <v>560</v>
      </c>
      <c r="H934" s="10">
        <v>-76.92</v>
      </c>
      <c r="I934" s="7">
        <v>6.48</v>
      </c>
      <c r="J934" s="7">
        <v>5.94</v>
      </c>
      <c r="K934" s="2" t="s">
        <v>859</v>
      </c>
      <c r="L934" s="16" t="s">
        <v>919</v>
      </c>
      <c r="M934" s="4" t="s">
        <v>563</v>
      </c>
      <c r="N934" s="2" t="s">
        <v>565</v>
      </c>
      <c r="O934" s="2" t="s">
        <v>568</v>
      </c>
      <c r="P934" s="2" t="s">
        <v>573</v>
      </c>
      <c r="Q934" s="1" t="s">
        <v>7</v>
      </c>
      <c r="R934" s="2" t="s">
        <v>585</v>
      </c>
      <c r="S934" s="8">
        <f>B934+1</f>
        <v>40703</v>
      </c>
    </row>
    <row r="935" spans="1:19" x14ac:dyDescent="0.15">
      <c r="A935" s="1">
        <v>58470</v>
      </c>
      <c r="B935" s="6">
        <f>DATE(2012,12,31)-572</f>
        <v>40702</v>
      </c>
      <c r="C935" s="2" t="s">
        <v>913</v>
      </c>
      <c r="D935" s="1">
        <v>45</v>
      </c>
      <c r="E935" s="1">
        <v>854.14</v>
      </c>
      <c r="F935" s="1">
        <v>0.01</v>
      </c>
      <c r="G935" s="2" t="s">
        <v>560</v>
      </c>
      <c r="H935" s="10">
        <v>94</v>
      </c>
      <c r="I935" s="7">
        <v>18.97</v>
      </c>
      <c r="J935" s="7">
        <v>9.0299999999999994</v>
      </c>
      <c r="K935" s="2" t="s">
        <v>859</v>
      </c>
      <c r="L935" s="16" t="s">
        <v>919</v>
      </c>
      <c r="M935" s="4" t="s">
        <v>563</v>
      </c>
      <c r="N935" s="2" t="s">
        <v>565</v>
      </c>
      <c r="O935" s="2" t="s">
        <v>568</v>
      </c>
      <c r="P935" s="2" t="s">
        <v>573</v>
      </c>
      <c r="Q935" s="1" t="s">
        <v>391</v>
      </c>
      <c r="R935" s="2" t="s">
        <v>585</v>
      </c>
      <c r="S935" s="8">
        <f>B935+2</f>
        <v>40704</v>
      </c>
    </row>
    <row r="936" spans="1:19" x14ac:dyDescent="0.15">
      <c r="A936" s="1">
        <v>58470</v>
      </c>
      <c r="B936" s="6">
        <f>DATE(2012,12,31)-572</f>
        <v>40702</v>
      </c>
      <c r="C936" s="2" t="s">
        <v>913</v>
      </c>
      <c r="D936" s="1">
        <v>5</v>
      </c>
      <c r="E936" s="1">
        <v>159.5</v>
      </c>
      <c r="F936" s="1">
        <v>0.09</v>
      </c>
      <c r="G936" s="2" t="s">
        <v>560</v>
      </c>
      <c r="H936" s="10">
        <v>-57.98</v>
      </c>
      <c r="I936" s="7">
        <v>31.98</v>
      </c>
      <c r="J936" s="7">
        <v>6.72</v>
      </c>
      <c r="K936" s="2" t="s">
        <v>859</v>
      </c>
      <c r="L936" s="16" t="s">
        <v>919</v>
      </c>
      <c r="M936" s="4" t="s">
        <v>563</v>
      </c>
      <c r="N936" s="2" t="s">
        <v>565</v>
      </c>
      <c r="O936" s="2" t="s">
        <v>568</v>
      </c>
      <c r="P936" s="2" t="s">
        <v>577</v>
      </c>
      <c r="Q936" s="1" t="s">
        <v>409</v>
      </c>
      <c r="R936" s="2" t="s">
        <v>585</v>
      </c>
      <c r="S936" s="8">
        <f>B936+1</f>
        <v>40703</v>
      </c>
    </row>
    <row r="937" spans="1:19" x14ac:dyDescent="0.15">
      <c r="A937" s="1">
        <v>58759</v>
      </c>
      <c r="B937" s="6">
        <f>DATE(2012,12,31)-1440</f>
        <v>39834</v>
      </c>
      <c r="C937" s="2" t="s">
        <v>916</v>
      </c>
      <c r="D937" s="1">
        <v>4</v>
      </c>
      <c r="E937" s="1">
        <v>33.44</v>
      </c>
      <c r="F937" s="1">
        <v>0.1</v>
      </c>
      <c r="G937" s="2" t="s">
        <v>560</v>
      </c>
      <c r="H937" s="10">
        <v>-6.88</v>
      </c>
      <c r="I937" s="7">
        <v>8.01</v>
      </c>
      <c r="J937" s="7">
        <v>2.87</v>
      </c>
      <c r="K937" s="2" t="s">
        <v>796</v>
      </c>
      <c r="L937" s="16" t="s">
        <v>919</v>
      </c>
      <c r="M937" s="4" t="s">
        <v>563</v>
      </c>
      <c r="N937" s="2" t="s">
        <v>567</v>
      </c>
      <c r="O937" s="2" t="s">
        <v>568</v>
      </c>
      <c r="P937" s="2" t="s">
        <v>573</v>
      </c>
      <c r="Q937" s="1" t="s">
        <v>385</v>
      </c>
      <c r="R937" s="2" t="s">
        <v>584</v>
      </c>
      <c r="S937" s="8">
        <f>B937+7</f>
        <v>39841</v>
      </c>
    </row>
    <row r="938" spans="1:19" x14ac:dyDescent="0.15">
      <c r="A938" s="1">
        <v>59780</v>
      </c>
      <c r="B938" s="6">
        <f>DATE(2012,12,31)-1045</f>
        <v>40229</v>
      </c>
      <c r="C938" s="2" t="s">
        <v>917</v>
      </c>
      <c r="D938" s="1">
        <v>21</v>
      </c>
      <c r="E938" s="1">
        <v>6776.92</v>
      </c>
      <c r="F938" s="1">
        <v>0</v>
      </c>
      <c r="G938" s="2" t="s">
        <v>562</v>
      </c>
      <c r="H938" s="10">
        <v>1395.02</v>
      </c>
      <c r="I938" s="7">
        <v>306.14</v>
      </c>
      <c r="J938" s="7">
        <v>26.53</v>
      </c>
      <c r="K938" s="2" t="s">
        <v>885</v>
      </c>
      <c r="L938" s="16" t="s">
        <v>919</v>
      </c>
      <c r="M938" s="4" t="s">
        <v>563</v>
      </c>
      <c r="N938" s="2" t="s">
        <v>564</v>
      </c>
      <c r="O938" s="2" t="s">
        <v>569</v>
      </c>
      <c r="P938" s="2" t="s">
        <v>583</v>
      </c>
      <c r="Q938" s="1" t="s">
        <v>336</v>
      </c>
      <c r="R938" s="2" t="s">
        <v>586</v>
      </c>
      <c r="S938" s="8">
        <f>B938+0</f>
        <v>40229</v>
      </c>
    </row>
    <row r="939" spans="1:19" x14ac:dyDescent="0.15">
      <c r="A939" s="1">
        <v>358</v>
      </c>
      <c r="B939" s="6">
        <f>DATE(2012,12,31)-834</f>
        <v>40440</v>
      </c>
      <c r="C939" s="2" t="s">
        <v>913</v>
      </c>
      <c r="D939" s="1">
        <v>33</v>
      </c>
      <c r="E939" s="1">
        <v>1640.9</v>
      </c>
      <c r="F939" s="1">
        <v>0.02</v>
      </c>
      <c r="G939" s="2" t="s">
        <v>562</v>
      </c>
      <c r="H939" s="10">
        <v>-1348.06</v>
      </c>
      <c r="I939" s="7">
        <v>48.58</v>
      </c>
      <c r="J939" s="7">
        <v>54.11</v>
      </c>
      <c r="K939" s="2" t="s">
        <v>834</v>
      </c>
      <c r="L939" s="16" t="s">
        <v>920</v>
      </c>
      <c r="M939" s="16" t="s">
        <v>563</v>
      </c>
      <c r="N939" s="2" t="s">
        <v>567</v>
      </c>
      <c r="O939" s="2" t="s">
        <v>570</v>
      </c>
      <c r="P939" s="2" t="s">
        <v>581</v>
      </c>
      <c r="Q939" s="1" t="s">
        <v>704</v>
      </c>
      <c r="R939" s="2" t="s">
        <v>588</v>
      </c>
      <c r="S939" s="8">
        <f>B939+2</f>
        <v>40442</v>
      </c>
    </row>
    <row r="940" spans="1:19" x14ac:dyDescent="0.15">
      <c r="A940" s="1">
        <v>358</v>
      </c>
      <c r="B940" s="6">
        <f>DATE(2012,12,31)-834</f>
        <v>40440</v>
      </c>
      <c r="C940" s="2" t="s">
        <v>913</v>
      </c>
      <c r="D940" s="1">
        <v>33</v>
      </c>
      <c r="E940" s="1">
        <v>1235.8699999999999</v>
      </c>
      <c r="F940" s="1">
        <v>7.0000000000000007E-2</v>
      </c>
      <c r="G940" s="2" t="s">
        <v>560</v>
      </c>
      <c r="H940" s="10">
        <v>269.27</v>
      </c>
      <c r="I940" s="7">
        <v>39.479999999999997</v>
      </c>
      <c r="J940" s="7">
        <v>1.99</v>
      </c>
      <c r="K940" s="2" t="s">
        <v>834</v>
      </c>
      <c r="L940" s="16" t="s">
        <v>920</v>
      </c>
      <c r="M940" s="4" t="s">
        <v>563</v>
      </c>
      <c r="N940" s="2" t="s">
        <v>567</v>
      </c>
      <c r="O940" s="2" t="s">
        <v>569</v>
      </c>
      <c r="P940" s="2" t="s">
        <v>572</v>
      </c>
      <c r="Q940" s="1" t="s">
        <v>271</v>
      </c>
      <c r="R940" s="2" t="s">
        <v>587</v>
      </c>
      <c r="S940" s="8">
        <f>B940+0</f>
        <v>40440</v>
      </c>
    </row>
    <row r="941" spans="1:19" x14ac:dyDescent="0.15">
      <c r="A941" s="1">
        <v>1767</v>
      </c>
      <c r="B941" s="6">
        <f>DATE(2012,12,31)-659</f>
        <v>40615</v>
      </c>
      <c r="C941" s="2" t="s">
        <v>913</v>
      </c>
      <c r="D941" s="1">
        <v>10</v>
      </c>
      <c r="E941" s="1">
        <v>46.34</v>
      </c>
      <c r="F941" s="1">
        <v>0.05</v>
      </c>
      <c r="G941" s="2" t="s">
        <v>560</v>
      </c>
      <c r="H941" s="10">
        <v>-7.76</v>
      </c>
      <c r="I941" s="7">
        <v>4.71</v>
      </c>
      <c r="J941" s="7">
        <v>0.7</v>
      </c>
      <c r="K941" s="2" t="s">
        <v>798</v>
      </c>
      <c r="L941" s="16" t="s">
        <v>920</v>
      </c>
      <c r="M941" s="4" t="s">
        <v>563</v>
      </c>
      <c r="N941" s="2" t="s">
        <v>567</v>
      </c>
      <c r="O941" s="2" t="s">
        <v>568</v>
      </c>
      <c r="P941" s="2" t="s">
        <v>580</v>
      </c>
      <c r="Q941" s="1" t="s">
        <v>739</v>
      </c>
      <c r="R941" s="2" t="s">
        <v>584</v>
      </c>
      <c r="S941" s="8">
        <f>B941+2</f>
        <v>40617</v>
      </c>
    </row>
    <row r="942" spans="1:19" x14ac:dyDescent="0.15">
      <c r="A942" s="1">
        <v>1863</v>
      </c>
      <c r="B942" s="6">
        <f>DATE(2012,12,31)-831</f>
        <v>40443</v>
      </c>
      <c r="C942" s="2" t="s">
        <v>915</v>
      </c>
      <c r="D942" s="1">
        <v>26</v>
      </c>
      <c r="E942" s="1">
        <v>2415.38</v>
      </c>
      <c r="F942" s="1">
        <v>0.08</v>
      </c>
      <c r="G942" s="2" t="s">
        <v>562</v>
      </c>
      <c r="H942" s="10">
        <v>-1131.5999999999999</v>
      </c>
      <c r="I942" s="7">
        <v>95.95</v>
      </c>
      <c r="J942" s="7">
        <v>74.349999999999994</v>
      </c>
      <c r="K942" s="2" t="s">
        <v>888</v>
      </c>
      <c r="L942" s="16" t="s">
        <v>920</v>
      </c>
      <c r="M942" s="4" t="s">
        <v>563</v>
      </c>
      <c r="N942" s="2" t="s">
        <v>565</v>
      </c>
      <c r="O942" s="2" t="s">
        <v>570</v>
      </c>
      <c r="P942" s="2" t="s">
        <v>574</v>
      </c>
      <c r="Q942" s="1" t="s">
        <v>221</v>
      </c>
      <c r="R942" s="2" t="s">
        <v>586</v>
      </c>
      <c r="S942" s="8">
        <f>B942+1</f>
        <v>40444</v>
      </c>
    </row>
    <row r="943" spans="1:19" x14ac:dyDescent="0.15">
      <c r="A943" s="1">
        <v>2915</v>
      </c>
      <c r="B943" s="6">
        <f>DATE(2012,12,31)-1372</f>
        <v>39902</v>
      </c>
      <c r="C943" s="2" t="s">
        <v>916</v>
      </c>
      <c r="D943" s="1">
        <v>41</v>
      </c>
      <c r="E943" s="1">
        <v>231.26</v>
      </c>
      <c r="F943" s="1">
        <v>7.0000000000000007E-2</v>
      </c>
      <c r="G943" s="2" t="s">
        <v>560</v>
      </c>
      <c r="H943" s="10">
        <v>32.83</v>
      </c>
      <c r="I943" s="7">
        <v>5.98</v>
      </c>
      <c r="J943" s="7">
        <v>0.96</v>
      </c>
      <c r="K943" s="2" t="s">
        <v>797</v>
      </c>
      <c r="L943" s="16" t="s">
        <v>920</v>
      </c>
      <c r="M943" s="4" t="s">
        <v>563</v>
      </c>
      <c r="N943" s="2" t="s">
        <v>566</v>
      </c>
      <c r="O943" s="2" t="s">
        <v>568</v>
      </c>
      <c r="P943" s="2" t="s">
        <v>571</v>
      </c>
      <c r="Q943" s="1" t="s">
        <v>213</v>
      </c>
      <c r="R943" s="2" t="s">
        <v>584</v>
      </c>
      <c r="S943" s="8">
        <f>B943+4</f>
        <v>39906</v>
      </c>
    </row>
    <row r="944" spans="1:19" x14ac:dyDescent="0.15">
      <c r="A944" s="1">
        <v>2915</v>
      </c>
      <c r="B944" s="6">
        <f>DATE(2012,12,31)-1372</f>
        <v>39902</v>
      </c>
      <c r="C944" s="2" t="s">
        <v>916</v>
      </c>
      <c r="D944" s="1">
        <v>23</v>
      </c>
      <c r="E944" s="1">
        <v>987.17</v>
      </c>
      <c r="F944" s="1">
        <v>0.01</v>
      </c>
      <c r="G944" s="2" t="s">
        <v>560</v>
      </c>
      <c r="H944" s="10">
        <v>51.590000000000053</v>
      </c>
      <c r="I944" s="7">
        <v>39.979999999999997</v>
      </c>
      <c r="J944" s="7">
        <v>4</v>
      </c>
      <c r="K944" s="2" t="s">
        <v>797</v>
      </c>
      <c r="L944" s="16" t="s">
        <v>920</v>
      </c>
      <c r="M944" s="4" t="s">
        <v>563</v>
      </c>
      <c r="N944" s="2" t="s">
        <v>566</v>
      </c>
      <c r="O944" s="2" t="s">
        <v>569</v>
      </c>
      <c r="P944" s="2" t="s">
        <v>572</v>
      </c>
      <c r="Q944" s="1" t="s">
        <v>161</v>
      </c>
      <c r="R944" s="2" t="s">
        <v>585</v>
      </c>
      <c r="S944" s="8">
        <f>B944+5</f>
        <v>39907</v>
      </c>
    </row>
    <row r="945" spans="1:19" x14ac:dyDescent="0.15">
      <c r="A945" s="1">
        <v>3046</v>
      </c>
      <c r="B945" s="6">
        <f>DATE(2012,12,31)-398</f>
        <v>40876</v>
      </c>
      <c r="C945" s="2" t="s">
        <v>913</v>
      </c>
      <c r="D945" s="1">
        <v>24</v>
      </c>
      <c r="E945" s="1">
        <v>10094.43</v>
      </c>
      <c r="F945" s="1">
        <v>0.03</v>
      </c>
      <c r="G945" s="2" t="s">
        <v>560</v>
      </c>
      <c r="H945" s="10">
        <v>4451.0079999999998</v>
      </c>
      <c r="I945" s="7">
        <v>420.98</v>
      </c>
      <c r="J945" s="7">
        <v>19.989999999999998</v>
      </c>
      <c r="K945" s="2" t="s">
        <v>888</v>
      </c>
      <c r="L945" s="16" t="s">
        <v>920</v>
      </c>
      <c r="M945" s="4" t="s">
        <v>563</v>
      </c>
      <c r="N945" s="2" t="s">
        <v>565</v>
      </c>
      <c r="O945" s="2" t="s">
        <v>568</v>
      </c>
      <c r="P945" s="2" t="s">
        <v>88</v>
      </c>
      <c r="Q945" s="1" t="s">
        <v>5</v>
      </c>
      <c r="R945" s="2" t="s">
        <v>585</v>
      </c>
      <c r="S945" s="8">
        <f>B945+2</f>
        <v>40878</v>
      </c>
    </row>
    <row r="946" spans="1:19" x14ac:dyDescent="0.15">
      <c r="A946" s="1">
        <v>4389</v>
      </c>
      <c r="B946" s="6">
        <f>DATE(2012,12,31)-1337</f>
        <v>39937</v>
      </c>
      <c r="C946" s="2" t="s">
        <v>914</v>
      </c>
      <c r="D946" s="1">
        <v>35</v>
      </c>
      <c r="E946" s="1">
        <v>179.45</v>
      </c>
      <c r="F946" s="1">
        <v>7.0000000000000007E-2</v>
      </c>
      <c r="G946" s="2" t="s">
        <v>560</v>
      </c>
      <c r="H946" s="10">
        <v>-116.3455</v>
      </c>
      <c r="I946" s="7">
        <v>5.34</v>
      </c>
      <c r="J946" s="7">
        <v>5.63</v>
      </c>
      <c r="K946" s="2" t="s">
        <v>848</v>
      </c>
      <c r="L946" s="16" t="s">
        <v>920</v>
      </c>
      <c r="M946" s="4" t="s">
        <v>563</v>
      </c>
      <c r="N946" s="2" t="s">
        <v>567</v>
      </c>
      <c r="O946" s="2" t="s">
        <v>568</v>
      </c>
      <c r="P946" s="2" t="s">
        <v>88</v>
      </c>
      <c r="Q946" s="1" t="s">
        <v>614</v>
      </c>
      <c r="R946" s="2" t="s">
        <v>585</v>
      </c>
      <c r="S946" s="8">
        <f>B946+2</f>
        <v>39939</v>
      </c>
    </row>
    <row r="947" spans="1:19" x14ac:dyDescent="0.15">
      <c r="A947" s="1">
        <v>4389</v>
      </c>
      <c r="B947" s="6">
        <f>DATE(2012,12,31)-1337</f>
        <v>39937</v>
      </c>
      <c r="C947" s="2" t="s">
        <v>914</v>
      </c>
      <c r="D947" s="1">
        <v>49</v>
      </c>
      <c r="E947" s="1">
        <v>7987.43</v>
      </c>
      <c r="F947" s="1">
        <v>0.03</v>
      </c>
      <c r="G947" s="2" t="s">
        <v>562</v>
      </c>
      <c r="H947" s="10">
        <v>1304.9000000000001</v>
      </c>
      <c r="I947" s="7">
        <v>160.97999999999999</v>
      </c>
      <c r="J947" s="7">
        <v>30</v>
      </c>
      <c r="K947" s="2" t="s">
        <v>848</v>
      </c>
      <c r="L947" s="16" t="s">
        <v>920</v>
      </c>
      <c r="M947" s="4" t="s">
        <v>563</v>
      </c>
      <c r="N947" s="2" t="s">
        <v>567</v>
      </c>
      <c r="O947" s="2" t="s">
        <v>570</v>
      </c>
      <c r="P947" s="2" t="s">
        <v>574</v>
      </c>
      <c r="Q947" s="1" t="s">
        <v>482</v>
      </c>
      <c r="R947" s="2" t="s">
        <v>586</v>
      </c>
      <c r="S947" s="8">
        <f>B947+1</f>
        <v>39938</v>
      </c>
    </row>
    <row r="948" spans="1:19" x14ac:dyDescent="0.15">
      <c r="A948" s="1">
        <v>4389</v>
      </c>
      <c r="B948" s="6">
        <f>DATE(2012,12,31)-1337</f>
        <v>39937</v>
      </c>
      <c r="C948" s="2" t="s">
        <v>914</v>
      </c>
      <c r="D948" s="1">
        <v>42</v>
      </c>
      <c r="E948" s="1">
        <v>2455.2759999999998</v>
      </c>
      <c r="F948" s="1">
        <v>0.04</v>
      </c>
      <c r="G948" s="2" t="s">
        <v>561</v>
      </c>
      <c r="H948" s="10">
        <v>693.0630000000001</v>
      </c>
      <c r="I948" s="7">
        <v>65.989999999999995</v>
      </c>
      <c r="J948" s="7">
        <v>5.63</v>
      </c>
      <c r="K948" s="2" t="s">
        <v>848</v>
      </c>
      <c r="L948" s="16" t="s">
        <v>920</v>
      </c>
      <c r="M948" s="4" t="s">
        <v>563</v>
      </c>
      <c r="N948" s="2" t="s">
        <v>567</v>
      </c>
      <c r="O948" s="2" t="s">
        <v>569</v>
      </c>
      <c r="P948" s="2" t="s">
        <v>87</v>
      </c>
      <c r="Q948" s="1" t="s">
        <v>635</v>
      </c>
      <c r="R948" s="2" t="s">
        <v>585</v>
      </c>
      <c r="S948" s="8">
        <f>B948+0</f>
        <v>39937</v>
      </c>
    </row>
    <row r="949" spans="1:19" x14ac:dyDescent="0.15">
      <c r="A949" s="1">
        <v>6180</v>
      </c>
      <c r="B949" s="6">
        <f>DATE(2012,12,31)-630</f>
        <v>40644</v>
      </c>
      <c r="C949" s="2" t="s">
        <v>914</v>
      </c>
      <c r="D949" s="1">
        <v>44</v>
      </c>
      <c r="E949" s="1">
        <v>2443.3420000000001</v>
      </c>
      <c r="F949" s="1">
        <v>0.01</v>
      </c>
      <c r="G949" s="2" t="s">
        <v>560</v>
      </c>
      <c r="H949" s="10">
        <v>590.31899999999996</v>
      </c>
      <c r="I949" s="7">
        <v>65.989999999999995</v>
      </c>
      <c r="J949" s="7">
        <v>3.99</v>
      </c>
      <c r="K949" s="2" t="s">
        <v>880</v>
      </c>
      <c r="L949" s="16" t="s">
        <v>920</v>
      </c>
      <c r="M949" s="4" t="s">
        <v>563</v>
      </c>
      <c r="N949" s="2" t="s">
        <v>564</v>
      </c>
      <c r="O949" s="2" t="s">
        <v>569</v>
      </c>
      <c r="P949" s="2" t="s">
        <v>87</v>
      </c>
      <c r="Q949" s="1" t="s">
        <v>168</v>
      </c>
      <c r="R949" s="2" t="s">
        <v>585</v>
      </c>
      <c r="S949" s="8">
        <f>B949+2</f>
        <v>40646</v>
      </c>
    </row>
    <row r="950" spans="1:19" x14ac:dyDescent="0.15">
      <c r="A950" s="1">
        <v>7078</v>
      </c>
      <c r="B950" s="6">
        <f>DATE(2012,12,31)-995</f>
        <v>40279</v>
      </c>
      <c r="C950" s="2" t="s">
        <v>913</v>
      </c>
      <c r="D950" s="1">
        <v>9</v>
      </c>
      <c r="E950" s="1">
        <v>112.12</v>
      </c>
      <c r="F950" s="1">
        <v>0.01</v>
      </c>
      <c r="G950" s="2" t="s">
        <v>560</v>
      </c>
      <c r="H950" s="10">
        <v>-8.4499999999999993</v>
      </c>
      <c r="I950" s="7">
        <v>11.33</v>
      </c>
      <c r="J950" s="7">
        <v>6.12</v>
      </c>
      <c r="K950" s="2" t="s">
        <v>834</v>
      </c>
      <c r="L950" s="16" t="s">
        <v>920</v>
      </c>
      <c r="M950" s="4" t="s">
        <v>563</v>
      </c>
      <c r="N950" s="2" t="s">
        <v>567</v>
      </c>
      <c r="O950" s="2" t="s">
        <v>568</v>
      </c>
      <c r="P950" s="2" t="s">
        <v>576</v>
      </c>
      <c r="Q950" s="1" t="s">
        <v>634</v>
      </c>
      <c r="R950" s="2" t="s">
        <v>589</v>
      </c>
      <c r="S950" s="8">
        <f>B950+2</f>
        <v>40281</v>
      </c>
    </row>
    <row r="951" spans="1:19" x14ac:dyDescent="0.15">
      <c r="A951" s="1">
        <v>7078</v>
      </c>
      <c r="B951" s="6">
        <f>DATE(2012,12,31)-995</f>
        <v>40279</v>
      </c>
      <c r="C951" s="2" t="s">
        <v>913</v>
      </c>
      <c r="D951" s="1">
        <v>11</v>
      </c>
      <c r="E951" s="1">
        <v>49.58</v>
      </c>
      <c r="F951" s="1">
        <v>0.1</v>
      </c>
      <c r="G951" s="2" t="s">
        <v>561</v>
      </c>
      <c r="H951" s="10">
        <v>-47.023499999999999</v>
      </c>
      <c r="I951" s="7">
        <v>3.36</v>
      </c>
      <c r="J951" s="7">
        <v>6.27</v>
      </c>
      <c r="K951" s="2" t="s">
        <v>834</v>
      </c>
      <c r="L951" s="16" t="s">
        <v>920</v>
      </c>
      <c r="M951" s="4" t="s">
        <v>563</v>
      </c>
      <c r="N951" s="2" t="s">
        <v>567</v>
      </c>
      <c r="O951" s="2" t="s">
        <v>568</v>
      </c>
      <c r="P951" s="2" t="s">
        <v>88</v>
      </c>
      <c r="Q951" s="1" t="s">
        <v>47</v>
      </c>
      <c r="R951" s="2" t="s">
        <v>585</v>
      </c>
      <c r="S951" s="8">
        <f>B951+1</f>
        <v>40280</v>
      </c>
    </row>
    <row r="952" spans="1:19" x14ac:dyDescent="0.15">
      <c r="A952" s="1">
        <v>7078</v>
      </c>
      <c r="B952" s="6">
        <f>DATE(2012,12,31)-995</f>
        <v>40279</v>
      </c>
      <c r="C952" s="2" t="s">
        <v>913</v>
      </c>
      <c r="D952" s="1">
        <v>16</v>
      </c>
      <c r="E952" s="1">
        <v>1939.65</v>
      </c>
      <c r="F952" s="1">
        <v>0.05</v>
      </c>
      <c r="G952" s="2" t="s">
        <v>562</v>
      </c>
      <c r="H952" s="10">
        <v>-885.73</v>
      </c>
      <c r="I952" s="7">
        <v>122.99</v>
      </c>
      <c r="J952" s="7">
        <v>70.2</v>
      </c>
      <c r="K952" s="2" t="s">
        <v>834</v>
      </c>
      <c r="L952" s="16" t="s">
        <v>920</v>
      </c>
      <c r="M952" s="4" t="s">
        <v>563</v>
      </c>
      <c r="N952" s="2" t="s">
        <v>567</v>
      </c>
      <c r="O952" s="2" t="s">
        <v>570</v>
      </c>
      <c r="P952" s="2" t="s">
        <v>574</v>
      </c>
      <c r="Q952" s="1" t="s">
        <v>92</v>
      </c>
      <c r="R952" s="2" t="s">
        <v>586</v>
      </c>
      <c r="S952" s="8">
        <f>B952+2</f>
        <v>40281</v>
      </c>
    </row>
    <row r="953" spans="1:19" x14ac:dyDescent="0.15">
      <c r="A953" s="1">
        <v>7078</v>
      </c>
      <c r="B953" s="6">
        <f>DATE(2012,12,31)-995</f>
        <v>40279</v>
      </c>
      <c r="C953" s="2" t="s">
        <v>913</v>
      </c>
      <c r="D953" s="1">
        <v>29</v>
      </c>
      <c r="E953" s="1">
        <v>465.52</v>
      </c>
      <c r="F953" s="1">
        <v>0.02</v>
      </c>
      <c r="G953" s="2" t="s">
        <v>561</v>
      </c>
      <c r="H953" s="10">
        <v>65.349999999999994</v>
      </c>
      <c r="I953" s="7">
        <v>14.98</v>
      </c>
      <c r="J953" s="7">
        <v>8.99</v>
      </c>
      <c r="K953" s="2" t="s">
        <v>834</v>
      </c>
      <c r="L953" s="16" t="s">
        <v>920</v>
      </c>
      <c r="M953" s="4" t="s">
        <v>563</v>
      </c>
      <c r="N953" s="2" t="s">
        <v>567</v>
      </c>
      <c r="O953" s="2" t="s">
        <v>570</v>
      </c>
      <c r="P953" s="2" t="s">
        <v>579</v>
      </c>
      <c r="Q953" s="1" t="s">
        <v>375</v>
      </c>
      <c r="R953" s="2" t="s">
        <v>587</v>
      </c>
      <c r="S953" s="8">
        <f>B953+1</f>
        <v>40280</v>
      </c>
    </row>
    <row r="954" spans="1:19" x14ac:dyDescent="0.15">
      <c r="A954" s="1">
        <v>7654</v>
      </c>
      <c r="B954" s="6">
        <f>DATE(2012,12,31)-1055</f>
        <v>40219</v>
      </c>
      <c r="C954" s="2" t="s">
        <v>913</v>
      </c>
      <c r="D954" s="1">
        <v>3</v>
      </c>
      <c r="E954" s="1">
        <v>19.47</v>
      </c>
      <c r="F954" s="1">
        <v>0.06</v>
      </c>
      <c r="G954" s="2" t="s">
        <v>560</v>
      </c>
      <c r="H954" s="10">
        <v>-14.29</v>
      </c>
      <c r="I954" s="7">
        <v>4.13</v>
      </c>
      <c r="J954" s="7">
        <v>6.89</v>
      </c>
      <c r="K954" s="2" t="s">
        <v>894</v>
      </c>
      <c r="L954" s="16" t="s">
        <v>920</v>
      </c>
      <c r="M954" s="4" t="s">
        <v>563</v>
      </c>
      <c r="N954" s="2" t="s">
        <v>565</v>
      </c>
      <c r="O954" s="2" t="s">
        <v>568</v>
      </c>
      <c r="P954" s="2" t="s">
        <v>582</v>
      </c>
      <c r="Q954" s="1" t="s">
        <v>597</v>
      </c>
      <c r="R954" s="2" t="s">
        <v>585</v>
      </c>
      <c r="S954" s="8">
        <f>B954+2</f>
        <v>40221</v>
      </c>
    </row>
    <row r="955" spans="1:19" x14ac:dyDescent="0.15">
      <c r="A955" s="1">
        <v>7746</v>
      </c>
      <c r="B955" s="6">
        <f>DATE(2012,12,31)-757</f>
        <v>40517</v>
      </c>
      <c r="C955" s="2" t="s">
        <v>914</v>
      </c>
      <c r="D955" s="1">
        <v>1</v>
      </c>
      <c r="E955" s="1">
        <v>28.96</v>
      </c>
      <c r="F955" s="1">
        <v>0.06</v>
      </c>
      <c r="G955" s="2" t="s">
        <v>560</v>
      </c>
      <c r="H955" s="10">
        <v>-27.07</v>
      </c>
      <c r="I955" s="7">
        <v>19.98</v>
      </c>
      <c r="J955" s="7">
        <v>8.68</v>
      </c>
      <c r="K955" s="2" t="s">
        <v>889</v>
      </c>
      <c r="L955" s="16" t="s">
        <v>920</v>
      </c>
      <c r="M955" s="4" t="s">
        <v>563</v>
      </c>
      <c r="N955" s="2" t="s">
        <v>566</v>
      </c>
      <c r="O955" s="2" t="s">
        <v>568</v>
      </c>
      <c r="P955" s="2" t="s">
        <v>573</v>
      </c>
      <c r="Q955" s="1" t="s">
        <v>439</v>
      </c>
      <c r="R955" s="2" t="s">
        <v>585</v>
      </c>
      <c r="S955" s="8">
        <f>B955+2</f>
        <v>40519</v>
      </c>
    </row>
    <row r="956" spans="1:19" x14ac:dyDescent="0.15">
      <c r="A956" s="1">
        <v>8387</v>
      </c>
      <c r="B956" s="6">
        <f>DATE(2012,12,31)-1017</f>
        <v>40257</v>
      </c>
      <c r="C956" s="2" t="s">
        <v>915</v>
      </c>
      <c r="D956" s="1">
        <v>35</v>
      </c>
      <c r="E956" s="1">
        <v>1133.96</v>
      </c>
      <c r="F956" s="1">
        <v>0.02</v>
      </c>
      <c r="G956" s="2" t="s">
        <v>560</v>
      </c>
      <c r="H956" s="10">
        <v>185.08750000000001</v>
      </c>
      <c r="I956" s="7">
        <v>31.74</v>
      </c>
      <c r="J956" s="7">
        <v>12.62</v>
      </c>
      <c r="K956" s="2" t="s">
        <v>823</v>
      </c>
      <c r="L956" s="16" t="s">
        <v>920</v>
      </c>
      <c r="M956" s="4" t="s">
        <v>563</v>
      </c>
      <c r="N956" s="2" t="s">
        <v>567</v>
      </c>
      <c r="O956" s="2" t="s">
        <v>568</v>
      </c>
      <c r="P956" s="2" t="s">
        <v>88</v>
      </c>
      <c r="Q956" s="1" t="s">
        <v>427</v>
      </c>
      <c r="R956" s="2" t="s">
        <v>585</v>
      </c>
      <c r="S956" s="8">
        <f>B956+1</f>
        <v>40258</v>
      </c>
    </row>
    <row r="957" spans="1:19" x14ac:dyDescent="0.15">
      <c r="A957" s="1">
        <v>8768</v>
      </c>
      <c r="B957" s="6">
        <f>DATE(2012,12,31)-501</f>
        <v>40773</v>
      </c>
      <c r="C957" s="2" t="s">
        <v>913</v>
      </c>
      <c r="D957" s="1">
        <v>44</v>
      </c>
      <c r="E957" s="1">
        <v>2422.4404999999997</v>
      </c>
      <c r="F957" s="1">
        <v>0.03</v>
      </c>
      <c r="G957" s="2" t="s">
        <v>560</v>
      </c>
      <c r="H957" s="10">
        <v>568.17899999999997</v>
      </c>
      <c r="I957" s="7">
        <v>65.989999999999995</v>
      </c>
      <c r="J957" s="7">
        <v>5.31</v>
      </c>
      <c r="K957" s="2" t="s">
        <v>894</v>
      </c>
      <c r="L957" s="16" t="s">
        <v>920</v>
      </c>
      <c r="M957" s="4" t="s">
        <v>563</v>
      </c>
      <c r="N957" s="2" t="s">
        <v>565</v>
      </c>
      <c r="O957" s="2" t="s">
        <v>569</v>
      </c>
      <c r="P957" s="2" t="s">
        <v>87</v>
      </c>
      <c r="Q957" s="1" t="s">
        <v>245</v>
      </c>
      <c r="R957" s="2" t="s">
        <v>585</v>
      </c>
      <c r="S957" s="8">
        <f>B957+1</f>
        <v>40774</v>
      </c>
    </row>
    <row r="958" spans="1:19" x14ac:dyDescent="0.15">
      <c r="A958" s="1">
        <v>9504</v>
      </c>
      <c r="B958" s="6">
        <f>DATE(2012,12,31)-36</f>
        <v>41238</v>
      </c>
      <c r="C958" s="2" t="s">
        <v>914</v>
      </c>
      <c r="D958" s="1">
        <v>17</v>
      </c>
      <c r="E958" s="1">
        <v>1954.796</v>
      </c>
      <c r="F958" s="1">
        <v>0.05</v>
      </c>
      <c r="G958" s="2" t="s">
        <v>560</v>
      </c>
      <c r="H958" s="10">
        <v>98.352000000000004</v>
      </c>
      <c r="I958" s="7">
        <v>140.99</v>
      </c>
      <c r="J958" s="7">
        <v>4.2</v>
      </c>
      <c r="K958" s="2" t="s">
        <v>888</v>
      </c>
      <c r="L958" s="16" t="s">
        <v>920</v>
      </c>
      <c r="M958" s="4" t="s">
        <v>563</v>
      </c>
      <c r="N958" s="2" t="s">
        <v>565</v>
      </c>
      <c r="O958" s="2" t="s">
        <v>569</v>
      </c>
      <c r="P958" s="2" t="s">
        <v>87</v>
      </c>
      <c r="Q958" s="1" t="s">
        <v>620</v>
      </c>
      <c r="R958" s="2" t="s">
        <v>585</v>
      </c>
      <c r="S958" s="8">
        <f>B958+2</f>
        <v>41240</v>
      </c>
    </row>
    <row r="959" spans="1:19" x14ac:dyDescent="0.15">
      <c r="A959" s="1">
        <v>10341</v>
      </c>
      <c r="B959" s="6">
        <f>DATE(2012,12,31)-10</f>
        <v>41264</v>
      </c>
      <c r="C959" s="2" t="s">
        <v>913</v>
      </c>
      <c r="D959" s="1">
        <v>17</v>
      </c>
      <c r="E959" s="1">
        <v>2312.96</v>
      </c>
      <c r="F959" s="1">
        <v>0.09</v>
      </c>
      <c r="G959" s="2" t="s">
        <v>562</v>
      </c>
      <c r="H959" s="10">
        <v>43.030000000000086</v>
      </c>
      <c r="I959" s="7">
        <v>145.44999999999999</v>
      </c>
      <c r="J959" s="7">
        <v>17.850000000000001</v>
      </c>
      <c r="K959" s="2" t="s">
        <v>888</v>
      </c>
      <c r="L959" s="16" t="s">
        <v>920</v>
      </c>
      <c r="M959" s="4" t="s">
        <v>563</v>
      </c>
      <c r="N959" s="2" t="s">
        <v>565</v>
      </c>
      <c r="O959" s="2" t="s">
        <v>569</v>
      </c>
      <c r="P959" s="2" t="s">
        <v>583</v>
      </c>
      <c r="Q959" s="1" t="s">
        <v>544</v>
      </c>
      <c r="R959" s="2" t="s">
        <v>586</v>
      </c>
      <c r="S959" s="8">
        <f>B959+1</f>
        <v>41265</v>
      </c>
    </row>
    <row r="960" spans="1:19" x14ac:dyDescent="0.15">
      <c r="A960" s="1">
        <v>10982</v>
      </c>
      <c r="B960" s="6">
        <f>DATE(2012,12,31)-21</f>
        <v>41253</v>
      </c>
      <c r="C960" s="2" t="s">
        <v>915</v>
      </c>
      <c r="D960" s="1">
        <v>29</v>
      </c>
      <c r="E960" s="1">
        <v>538.27</v>
      </c>
      <c r="F960" s="1">
        <v>0.02</v>
      </c>
      <c r="G960" s="2" t="s">
        <v>560</v>
      </c>
      <c r="H960" s="10">
        <v>225.19900000000001</v>
      </c>
      <c r="I960" s="7">
        <v>18.940000000000001</v>
      </c>
      <c r="J960" s="7">
        <v>1.49</v>
      </c>
      <c r="K960" s="2" t="s">
        <v>880</v>
      </c>
      <c r="L960" s="16" t="s">
        <v>920</v>
      </c>
      <c r="M960" s="4" t="s">
        <v>563</v>
      </c>
      <c r="N960" s="2" t="s">
        <v>564</v>
      </c>
      <c r="O960" s="2" t="s">
        <v>568</v>
      </c>
      <c r="P960" s="2" t="s">
        <v>88</v>
      </c>
      <c r="Q960" s="1" t="s">
        <v>322</v>
      </c>
      <c r="R960" s="2" t="s">
        <v>585</v>
      </c>
      <c r="S960" s="8">
        <f>B960+1</f>
        <v>41254</v>
      </c>
    </row>
    <row r="961" spans="1:19" x14ac:dyDescent="0.15">
      <c r="A961" s="1">
        <v>10982</v>
      </c>
      <c r="B961" s="6">
        <f>DATE(2012,12,31)-21</f>
        <v>41253</v>
      </c>
      <c r="C961" s="2" t="s">
        <v>915</v>
      </c>
      <c r="D961" s="1">
        <v>30</v>
      </c>
      <c r="E961" s="1">
        <v>3665.41</v>
      </c>
      <c r="F961" s="1">
        <v>0.05</v>
      </c>
      <c r="G961" s="2" t="s">
        <v>560</v>
      </c>
      <c r="H961" s="10">
        <v>1236.3589999999999</v>
      </c>
      <c r="I961" s="7">
        <v>122.99</v>
      </c>
      <c r="J961" s="7">
        <v>19.989999999999998</v>
      </c>
      <c r="K961" s="2" t="s">
        <v>880</v>
      </c>
      <c r="L961" s="16" t="s">
        <v>920</v>
      </c>
      <c r="M961" s="4" t="s">
        <v>563</v>
      </c>
      <c r="N961" s="2" t="s">
        <v>564</v>
      </c>
      <c r="O961" s="2" t="s">
        <v>568</v>
      </c>
      <c r="P961" s="2" t="s">
        <v>88</v>
      </c>
      <c r="Q961" s="1" t="s">
        <v>752</v>
      </c>
      <c r="R961" s="2" t="s">
        <v>585</v>
      </c>
      <c r="S961" s="8">
        <f>B961+2</f>
        <v>41255</v>
      </c>
    </row>
    <row r="962" spans="1:19" x14ac:dyDescent="0.15">
      <c r="A962" s="1">
        <v>10982</v>
      </c>
      <c r="B962" s="6">
        <f>DATE(2012,12,31)-21</f>
        <v>41253</v>
      </c>
      <c r="C962" s="2" t="s">
        <v>915</v>
      </c>
      <c r="D962" s="1">
        <v>14</v>
      </c>
      <c r="E962" s="1">
        <v>20.95</v>
      </c>
      <c r="F962" s="1">
        <v>0</v>
      </c>
      <c r="G962" s="2" t="s">
        <v>561</v>
      </c>
      <c r="H962" s="10">
        <v>2.81</v>
      </c>
      <c r="I962" s="7">
        <v>1.1399999999999999</v>
      </c>
      <c r="J962" s="7">
        <v>0.7</v>
      </c>
      <c r="K962" s="2" t="s">
        <v>880</v>
      </c>
      <c r="L962" s="16" t="s">
        <v>920</v>
      </c>
      <c r="M962" s="4" t="s">
        <v>563</v>
      </c>
      <c r="N962" s="2" t="s">
        <v>564</v>
      </c>
      <c r="O962" s="2" t="s">
        <v>568</v>
      </c>
      <c r="P962" s="2" t="s">
        <v>580</v>
      </c>
      <c r="Q962" s="1" t="s">
        <v>710</v>
      </c>
      <c r="R962" s="2" t="s">
        <v>584</v>
      </c>
      <c r="S962" s="8">
        <f>B962+2</f>
        <v>41255</v>
      </c>
    </row>
    <row r="963" spans="1:19" x14ac:dyDescent="0.15">
      <c r="A963" s="1">
        <v>11014</v>
      </c>
      <c r="B963" s="6">
        <f>DATE(2012,12,31)-846</f>
        <v>40428</v>
      </c>
      <c r="C963" s="2" t="s">
        <v>913</v>
      </c>
      <c r="D963" s="1">
        <v>39</v>
      </c>
      <c r="E963" s="1">
        <v>286.81</v>
      </c>
      <c r="F963" s="1">
        <v>7.0000000000000007E-2</v>
      </c>
      <c r="G963" s="2" t="s">
        <v>560</v>
      </c>
      <c r="H963" s="10">
        <v>110.05</v>
      </c>
      <c r="I963" s="7">
        <v>7.64</v>
      </c>
      <c r="J963" s="7">
        <v>1.39</v>
      </c>
      <c r="K963" s="2" t="s">
        <v>848</v>
      </c>
      <c r="L963" s="16" t="s">
        <v>920</v>
      </c>
      <c r="M963" s="4" t="s">
        <v>563</v>
      </c>
      <c r="N963" s="2" t="s">
        <v>567</v>
      </c>
      <c r="O963" s="2" t="s">
        <v>568</v>
      </c>
      <c r="P963" s="2" t="s">
        <v>575</v>
      </c>
      <c r="Q963" s="1" t="s">
        <v>275</v>
      </c>
      <c r="R963" s="2" t="s">
        <v>585</v>
      </c>
      <c r="S963" s="8">
        <f>B963+1</f>
        <v>40429</v>
      </c>
    </row>
    <row r="964" spans="1:19" x14ac:dyDescent="0.15">
      <c r="A964" s="1">
        <v>14176</v>
      </c>
      <c r="B964" s="6">
        <f>DATE(2012,12,31)-1390</f>
        <v>39884</v>
      </c>
      <c r="C964" s="2" t="s">
        <v>916</v>
      </c>
      <c r="D964" s="1">
        <v>39</v>
      </c>
      <c r="E964" s="1">
        <v>1233.4775</v>
      </c>
      <c r="F964" s="1">
        <v>0.01</v>
      </c>
      <c r="G964" s="2" t="s">
        <v>560</v>
      </c>
      <c r="H964" s="10">
        <v>453.798</v>
      </c>
      <c r="I964" s="7">
        <v>35.99</v>
      </c>
      <c r="J964" s="7">
        <v>5.99</v>
      </c>
      <c r="K964" s="2" t="s">
        <v>894</v>
      </c>
      <c r="L964" s="16" t="s">
        <v>920</v>
      </c>
      <c r="M964" s="4" t="s">
        <v>563</v>
      </c>
      <c r="N964" s="2" t="s">
        <v>565</v>
      </c>
      <c r="O964" s="2" t="s">
        <v>569</v>
      </c>
      <c r="P964" s="2" t="s">
        <v>87</v>
      </c>
      <c r="Q964" s="1" t="s">
        <v>6</v>
      </c>
      <c r="R964" s="2" t="s">
        <v>584</v>
      </c>
      <c r="S964" s="8">
        <f>B964+7</f>
        <v>39891</v>
      </c>
    </row>
    <row r="965" spans="1:19" x14ac:dyDescent="0.15">
      <c r="A965" s="1">
        <v>14497</v>
      </c>
      <c r="B965" s="6">
        <f>DATE(2012,12,31)-225</f>
        <v>41049</v>
      </c>
      <c r="C965" s="2" t="s">
        <v>914</v>
      </c>
      <c r="D965" s="1">
        <v>34</v>
      </c>
      <c r="E965" s="1">
        <v>214.03</v>
      </c>
      <c r="F965" s="1">
        <v>0.02</v>
      </c>
      <c r="G965" s="2" t="s">
        <v>560</v>
      </c>
      <c r="H965" s="10">
        <v>-138.91999999999999</v>
      </c>
      <c r="I965" s="7">
        <v>5.78</v>
      </c>
      <c r="J965" s="7">
        <v>7.96</v>
      </c>
      <c r="K965" s="2" t="s">
        <v>888</v>
      </c>
      <c r="L965" s="16" t="s">
        <v>920</v>
      </c>
      <c r="M965" s="4" t="s">
        <v>563</v>
      </c>
      <c r="N965" s="2" t="s">
        <v>565</v>
      </c>
      <c r="O965" s="2" t="s">
        <v>568</v>
      </c>
      <c r="P965" s="2" t="s">
        <v>573</v>
      </c>
      <c r="Q965" s="1" t="s">
        <v>355</v>
      </c>
      <c r="R965" s="2" t="s">
        <v>585</v>
      </c>
      <c r="S965" s="8">
        <f>B965+3</f>
        <v>41052</v>
      </c>
    </row>
    <row r="966" spans="1:19" x14ac:dyDescent="0.15">
      <c r="A966" s="1">
        <v>15074</v>
      </c>
      <c r="B966" s="6">
        <f>DATE(2012,12,31)-1129</f>
        <v>40145</v>
      </c>
      <c r="C966" s="2" t="s">
        <v>915</v>
      </c>
      <c r="D966" s="1">
        <v>27</v>
      </c>
      <c r="E966" s="1">
        <v>941.4</v>
      </c>
      <c r="F966" s="1">
        <v>0.05</v>
      </c>
      <c r="G966" s="2" t="s">
        <v>560</v>
      </c>
      <c r="H966" s="10">
        <v>369.48</v>
      </c>
      <c r="I966" s="7">
        <v>35.44</v>
      </c>
      <c r="J966" s="7">
        <v>5.09</v>
      </c>
      <c r="K966" s="2" t="s">
        <v>797</v>
      </c>
      <c r="L966" s="16" t="s">
        <v>920</v>
      </c>
      <c r="M966" s="4" t="s">
        <v>563</v>
      </c>
      <c r="N966" s="2" t="s">
        <v>566</v>
      </c>
      <c r="O966" s="2" t="s">
        <v>568</v>
      </c>
      <c r="P966" s="2" t="s">
        <v>573</v>
      </c>
      <c r="Q966" s="1" t="s">
        <v>334</v>
      </c>
      <c r="R966" s="2" t="s">
        <v>585</v>
      </c>
      <c r="S966" s="8">
        <f>B966+1</f>
        <v>40146</v>
      </c>
    </row>
    <row r="967" spans="1:19" x14ac:dyDescent="0.15">
      <c r="A967" s="1">
        <v>15104</v>
      </c>
      <c r="B967" s="6">
        <f>DATE(2012,12,31)-277</f>
        <v>40997</v>
      </c>
      <c r="C967" s="2" t="s">
        <v>914</v>
      </c>
      <c r="D967" s="1">
        <v>23</v>
      </c>
      <c r="E967" s="1">
        <v>109.43</v>
      </c>
      <c r="F967" s="1">
        <v>0.09</v>
      </c>
      <c r="G967" s="2" t="s">
        <v>560</v>
      </c>
      <c r="H967" s="10">
        <v>21.7685</v>
      </c>
      <c r="I967" s="7">
        <v>4.82</v>
      </c>
      <c r="J967" s="7">
        <v>1.49</v>
      </c>
      <c r="K967" s="2" t="s">
        <v>894</v>
      </c>
      <c r="L967" s="16" t="s">
        <v>920</v>
      </c>
      <c r="M967" s="4" t="s">
        <v>563</v>
      </c>
      <c r="N967" s="2" t="s">
        <v>565</v>
      </c>
      <c r="O967" s="2" t="s">
        <v>568</v>
      </c>
      <c r="P967" s="2" t="s">
        <v>88</v>
      </c>
      <c r="Q967" s="1" t="s">
        <v>407</v>
      </c>
      <c r="R967" s="2" t="s">
        <v>585</v>
      </c>
      <c r="S967" s="8">
        <f>B967+3</f>
        <v>41000</v>
      </c>
    </row>
    <row r="968" spans="1:19" x14ac:dyDescent="0.15">
      <c r="A968" s="1">
        <v>16834</v>
      </c>
      <c r="B968" s="6">
        <f>DATE(2012,12,31)-800</f>
        <v>40474</v>
      </c>
      <c r="C968" s="2" t="s">
        <v>916</v>
      </c>
      <c r="D968" s="1">
        <v>23</v>
      </c>
      <c r="E968" s="1">
        <v>158.78</v>
      </c>
      <c r="F968" s="1">
        <v>7.0000000000000007E-2</v>
      </c>
      <c r="G968" s="2" t="s">
        <v>560</v>
      </c>
      <c r="H968" s="10">
        <v>33.26</v>
      </c>
      <c r="I968" s="7">
        <v>7.04</v>
      </c>
      <c r="J968" s="7">
        <v>2.17</v>
      </c>
      <c r="K968" s="2" t="s">
        <v>629</v>
      </c>
      <c r="L968" s="16" t="s">
        <v>920</v>
      </c>
      <c r="M968" s="4" t="s">
        <v>563</v>
      </c>
      <c r="N968" s="2" t="s">
        <v>566</v>
      </c>
      <c r="O968" s="2" t="s">
        <v>568</v>
      </c>
      <c r="P968" s="2" t="s">
        <v>573</v>
      </c>
      <c r="Q968" s="1" t="s">
        <v>678</v>
      </c>
      <c r="R968" s="2" t="s">
        <v>584</v>
      </c>
      <c r="S968" s="8">
        <f>B968+7</f>
        <v>40481</v>
      </c>
    </row>
    <row r="969" spans="1:19" x14ac:dyDescent="0.15">
      <c r="A969" s="1">
        <v>17445</v>
      </c>
      <c r="B969" s="6">
        <f>DATE(2012,12,31)-498</f>
        <v>40776</v>
      </c>
      <c r="C969" s="2" t="s">
        <v>915</v>
      </c>
      <c r="D969" s="1">
        <v>33</v>
      </c>
      <c r="E969" s="1">
        <v>249.48</v>
      </c>
      <c r="F969" s="1">
        <v>0.1</v>
      </c>
      <c r="G969" s="2" t="s">
        <v>560</v>
      </c>
      <c r="H969" s="10">
        <v>-73.83</v>
      </c>
      <c r="I969" s="7">
        <v>8.32</v>
      </c>
      <c r="J969" s="7">
        <v>2.38</v>
      </c>
      <c r="K969" s="2" t="s">
        <v>894</v>
      </c>
      <c r="L969" s="16" t="s">
        <v>920</v>
      </c>
      <c r="M969" s="4" t="s">
        <v>563</v>
      </c>
      <c r="N969" s="2" t="s">
        <v>565</v>
      </c>
      <c r="O969" s="2" t="s">
        <v>569</v>
      </c>
      <c r="P969" s="2" t="s">
        <v>572</v>
      </c>
      <c r="Q969" s="1" t="s">
        <v>172</v>
      </c>
      <c r="R969" s="2" t="s">
        <v>587</v>
      </c>
      <c r="S969" s="8">
        <f>B969+3</f>
        <v>40779</v>
      </c>
    </row>
    <row r="970" spans="1:19" x14ac:dyDescent="0.15">
      <c r="A970" s="1">
        <v>18593</v>
      </c>
      <c r="B970" s="6">
        <f>DATE(2012,12,31)-466</f>
        <v>40808</v>
      </c>
      <c r="C970" s="2" t="s">
        <v>913</v>
      </c>
      <c r="D970" s="1">
        <v>23</v>
      </c>
      <c r="E970" s="1">
        <v>6572.04</v>
      </c>
      <c r="F970" s="1">
        <v>0.06</v>
      </c>
      <c r="G970" s="2" t="s">
        <v>560</v>
      </c>
      <c r="H970" s="10">
        <v>1579.34</v>
      </c>
      <c r="I970" s="7">
        <v>300.97000000000003</v>
      </c>
      <c r="J970" s="7">
        <v>7.18</v>
      </c>
      <c r="K970" s="2" t="s">
        <v>823</v>
      </c>
      <c r="L970" s="16" t="s">
        <v>920</v>
      </c>
      <c r="M970" s="4" t="s">
        <v>563</v>
      </c>
      <c r="N970" s="2" t="s">
        <v>567</v>
      </c>
      <c r="O970" s="2" t="s">
        <v>569</v>
      </c>
      <c r="P970" s="2" t="s">
        <v>572</v>
      </c>
      <c r="Q970" s="1" t="s">
        <v>481</v>
      </c>
      <c r="R970" s="2" t="s">
        <v>585</v>
      </c>
      <c r="S970" s="8">
        <f>B970+1</f>
        <v>40809</v>
      </c>
    </row>
    <row r="971" spans="1:19" x14ac:dyDescent="0.15">
      <c r="A971" s="1">
        <v>18593</v>
      </c>
      <c r="B971" s="6">
        <f>DATE(2012,12,31)-466</f>
        <v>40808</v>
      </c>
      <c r="C971" s="2" t="s">
        <v>913</v>
      </c>
      <c r="D971" s="1">
        <v>19</v>
      </c>
      <c r="E971" s="1">
        <v>1051.992</v>
      </c>
      <c r="F971" s="1">
        <v>0.09</v>
      </c>
      <c r="G971" s="2" t="s">
        <v>562</v>
      </c>
      <c r="H971" s="10">
        <v>-1280.5999999999999</v>
      </c>
      <c r="I971" s="7">
        <v>70.89</v>
      </c>
      <c r="J971" s="7">
        <v>89.3</v>
      </c>
      <c r="K971" s="2" t="s">
        <v>823</v>
      </c>
      <c r="L971" s="16" t="s">
        <v>920</v>
      </c>
      <c r="M971" s="4" t="s">
        <v>563</v>
      </c>
      <c r="N971" s="2" t="s">
        <v>567</v>
      </c>
      <c r="O971" s="2" t="s">
        <v>570</v>
      </c>
      <c r="P971" s="2" t="s">
        <v>578</v>
      </c>
      <c r="Q971" s="1" t="s">
        <v>149</v>
      </c>
      <c r="R971" s="2" t="s">
        <v>588</v>
      </c>
      <c r="S971" s="8">
        <f>B971+2</f>
        <v>40810</v>
      </c>
    </row>
    <row r="972" spans="1:19" x14ac:dyDescent="0.15">
      <c r="A972" s="1">
        <v>19652</v>
      </c>
      <c r="B972" s="6">
        <f>DATE(2012,12,31)-212</f>
        <v>41062</v>
      </c>
      <c r="C972" s="2" t="s">
        <v>917</v>
      </c>
      <c r="D972" s="1">
        <v>28</v>
      </c>
      <c r="E972" s="1">
        <v>2711.14</v>
      </c>
      <c r="F972" s="1">
        <v>0.01</v>
      </c>
      <c r="G972" s="2" t="s">
        <v>562</v>
      </c>
      <c r="H972" s="10">
        <v>-307.86</v>
      </c>
      <c r="I972" s="7">
        <v>89.99</v>
      </c>
      <c r="J972" s="7">
        <v>42</v>
      </c>
      <c r="K972" s="2" t="s">
        <v>823</v>
      </c>
      <c r="L972" s="16" t="s">
        <v>920</v>
      </c>
      <c r="M972" s="4" t="s">
        <v>563</v>
      </c>
      <c r="N972" s="2" t="s">
        <v>567</v>
      </c>
      <c r="O972" s="2" t="s">
        <v>570</v>
      </c>
      <c r="P972" s="2" t="s">
        <v>574</v>
      </c>
      <c r="Q972" s="1" t="s">
        <v>94</v>
      </c>
      <c r="R972" s="2" t="s">
        <v>586</v>
      </c>
      <c r="S972" s="8">
        <f>B972+1</f>
        <v>41063</v>
      </c>
    </row>
    <row r="973" spans="1:19" x14ac:dyDescent="0.15">
      <c r="A973" s="1">
        <v>19652</v>
      </c>
      <c r="B973" s="6">
        <f>DATE(2012,12,31)-212</f>
        <v>41062</v>
      </c>
      <c r="C973" s="2" t="s">
        <v>917</v>
      </c>
      <c r="D973" s="1">
        <v>34</v>
      </c>
      <c r="E973" s="1">
        <v>1829.8715</v>
      </c>
      <c r="F973" s="1">
        <v>0.05</v>
      </c>
      <c r="G973" s="2" t="s">
        <v>560</v>
      </c>
      <c r="H973" s="10">
        <v>367.46100000000001</v>
      </c>
      <c r="I973" s="7">
        <v>65.989999999999995</v>
      </c>
      <c r="J973" s="7">
        <v>3.99</v>
      </c>
      <c r="K973" s="2" t="s">
        <v>823</v>
      </c>
      <c r="L973" s="16" t="s">
        <v>920</v>
      </c>
      <c r="M973" s="4" t="s">
        <v>563</v>
      </c>
      <c r="N973" s="2" t="s">
        <v>567</v>
      </c>
      <c r="O973" s="2" t="s">
        <v>569</v>
      </c>
      <c r="P973" s="2" t="s">
        <v>87</v>
      </c>
      <c r="Q973" s="1" t="s">
        <v>755</v>
      </c>
      <c r="R973" s="2" t="s">
        <v>585</v>
      </c>
      <c r="S973" s="8">
        <f>B973+2</f>
        <v>41064</v>
      </c>
    </row>
    <row r="974" spans="1:19" x14ac:dyDescent="0.15">
      <c r="A974" s="1">
        <v>20743</v>
      </c>
      <c r="B974" s="6">
        <f>DATE(2012,12,31)-382</f>
        <v>40892</v>
      </c>
      <c r="C974" s="2" t="s">
        <v>913</v>
      </c>
      <c r="D974" s="1">
        <v>39</v>
      </c>
      <c r="E974" s="1">
        <v>231.21</v>
      </c>
      <c r="F974" s="1">
        <v>0</v>
      </c>
      <c r="G974" s="2" t="s">
        <v>561</v>
      </c>
      <c r="H974" s="10">
        <v>-179.96</v>
      </c>
      <c r="I974" s="7">
        <v>5.28</v>
      </c>
      <c r="J974" s="7">
        <v>8.16</v>
      </c>
      <c r="K974" s="2" t="s">
        <v>889</v>
      </c>
      <c r="L974" s="16" t="s">
        <v>920</v>
      </c>
      <c r="M974" s="4" t="s">
        <v>563</v>
      </c>
      <c r="N974" s="2" t="s">
        <v>566</v>
      </c>
      <c r="O974" s="2" t="s">
        <v>568</v>
      </c>
      <c r="P974" s="2" t="s">
        <v>573</v>
      </c>
      <c r="Q974" s="1" t="s">
        <v>353</v>
      </c>
      <c r="R974" s="2" t="s">
        <v>585</v>
      </c>
      <c r="S974" s="8">
        <f>B974+1</f>
        <v>40893</v>
      </c>
    </row>
    <row r="975" spans="1:19" x14ac:dyDescent="0.15">
      <c r="A975" s="1">
        <v>21862</v>
      </c>
      <c r="B975" s="6">
        <f>DATE(2012,12,31)-841</f>
        <v>40433</v>
      </c>
      <c r="C975" s="2" t="s">
        <v>915</v>
      </c>
      <c r="D975" s="1">
        <v>1</v>
      </c>
      <c r="E975" s="1">
        <v>28.75</v>
      </c>
      <c r="F975" s="1">
        <v>0.09</v>
      </c>
      <c r="G975" s="2" t="s">
        <v>561</v>
      </c>
      <c r="H975" s="10">
        <v>-14.352</v>
      </c>
      <c r="I975" s="7">
        <v>14.27</v>
      </c>
      <c r="J975" s="7">
        <v>7.27</v>
      </c>
      <c r="K975" s="2" t="s">
        <v>889</v>
      </c>
      <c r="L975" s="16" t="s">
        <v>920</v>
      </c>
      <c r="M975" s="4" t="s">
        <v>563</v>
      </c>
      <c r="N975" s="2" t="s">
        <v>566</v>
      </c>
      <c r="O975" s="2" t="s">
        <v>568</v>
      </c>
      <c r="P975" s="2" t="s">
        <v>88</v>
      </c>
      <c r="Q975" s="1" t="s">
        <v>384</v>
      </c>
      <c r="R975" s="2" t="s">
        <v>585</v>
      </c>
      <c r="S975" s="8">
        <f>B975+0</f>
        <v>40433</v>
      </c>
    </row>
    <row r="976" spans="1:19" x14ac:dyDescent="0.15">
      <c r="A976" s="1">
        <v>21862</v>
      </c>
      <c r="B976" s="6">
        <f>DATE(2012,12,31)-841</f>
        <v>40433</v>
      </c>
      <c r="C976" s="2" t="s">
        <v>915</v>
      </c>
      <c r="D976" s="1">
        <v>4</v>
      </c>
      <c r="E976" s="1">
        <v>19014.240000000002</v>
      </c>
      <c r="F976" s="1">
        <v>0.06</v>
      </c>
      <c r="G976" s="2" t="s">
        <v>560</v>
      </c>
      <c r="H976" s="10">
        <v>-10263.6597</v>
      </c>
      <c r="I976" s="7">
        <v>6783.02</v>
      </c>
      <c r="J976" s="7">
        <v>24.49</v>
      </c>
      <c r="K976" s="2" t="s">
        <v>889</v>
      </c>
      <c r="L976" s="16" t="s">
        <v>920</v>
      </c>
      <c r="M976" s="4" t="s">
        <v>563</v>
      </c>
      <c r="N976" s="2" t="s">
        <v>566</v>
      </c>
      <c r="O976" s="2" t="s">
        <v>569</v>
      </c>
      <c r="P976" s="2" t="s">
        <v>583</v>
      </c>
      <c r="Q976" s="1" t="s">
        <v>141</v>
      </c>
      <c r="R976" s="2" t="s">
        <v>590</v>
      </c>
      <c r="S976" s="8">
        <f>B976+2</f>
        <v>40435</v>
      </c>
    </row>
    <row r="977" spans="1:19" x14ac:dyDescent="0.15">
      <c r="A977" s="1">
        <v>21862</v>
      </c>
      <c r="B977" s="6">
        <f>DATE(2012,12,31)-841</f>
        <v>40433</v>
      </c>
      <c r="C977" s="2" t="s">
        <v>915</v>
      </c>
      <c r="D977" s="1">
        <v>46</v>
      </c>
      <c r="E977" s="1">
        <v>385.05</v>
      </c>
      <c r="F977" s="1">
        <v>0</v>
      </c>
      <c r="G977" s="2" t="s">
        <v>560</v>
      </c>
      <c r="H977" s="10">
        <v>56.75</v>
      </c>
      <c r="I977" s="7">
        <v>8.14</v>
      </c>
      <c r="J977" s="7">
        <v>3.12</v>
      </c>
      <c r="K977" s="2" t="s">
        <v>889</v>
      </c>
      <c r="L977" s="16" t="s">
        <v>920</v>
      </c>
      <c r="M977" s="4" t="s">
        <v>563</v>
      </c>
      <c r="N977" s="2" t="s">
        <v>566</v>
      </c>
      <c r="O977" s="2" t="s">
        <v>568</v>
      </c>
      <c r="P977" s="2" t="s">
        <v>571</v>
      </c>
      <c r="Q977" s="1" t="s">
        <v>202</v>
      </c>
      <c r="R977" s="2" t="s">
        <v>584</v>
      </c>
      <c r="S977" s="8">
        <f>B977+1</f>
        <v>40434</v>
      </c>
    </row>
    <row r="978" spans="1:19" x14ac:dyDescent="0.15">
      <c r="A978" s="1">
        <v>22787</v>
      </c>
      <c r="B978" s="6">
        <f>DATE(2012,12,31)-636</f>
        <v>40638</v>
      </c>
      <c r="C978" s="2" t="s">
        <v>914</v>
      </c>
      <c r="D978" s="1">
        <v>35</v>
      </c>
      <c r="E978" s="1">
        <v>46.44</v>
      </c>
      <c r="F978" s="1">
        <v>0.06</v>
      </c>
      <c r="G978" s="2" t="s">
        <v>561</v>
      </c>
      <c r="H978" s="10">
        <v>-16.3</v>
      </c>
      <c r="I978" s="7">
        <v>1.26</v>
      </c>
      <c r="J978" s="7">
        <v>0.7</v>
      </c>
      <c r="K978" s="2" t="s">
        <v>834</v>
      </c>
      <c r="L978" s="16" t="s">
        <v>920</v>
      </c>
      <c r="M978" s="4" t="s">
        <v>563</v>
      </c>
      <c r="N978" s="2" t="s">
        <v>567</v>
      </c>
      <c r="O978" s="2" t="s">
        <v>568</v>
      </c>
      <c r="P978" s="2" t="s">
        <v>580</v>
      </c>
      <c r="Q978" s="1" t="s">
        <v>430</v>
      </c>
      <c r="R978" s="2" t="s">
        <v>584</v>
      </c>
      <c r="S978" s="8">
        <f>B978+0</f>
        <v>40638</v>
      </c>
    </row>
    <row r="979" spans="1:19" x14ac:dyDescent="0.15">
      <c r="A979" s="1">
        <v>23170</v>
      </c>
      <c r="B979" s="6">
        <f>DATE(2012,12,31)-1320</f>
        <v>39954</v>
      </c>
      <c r="C979" s="2" t="s">
        <v>915</v>
      </c>
      <c r="D979" s="1">
        <v>20</v>
      </c>
      <c r="E979" s="1">
        <v>4252.8900000000003</v>
      </c>
      <c r="F979" s="1">
        <v>0.06</v>
      </c>
      <c r="G979" s="2" t="s">
        <v>561</v>
      </c>
      <c r="H979" s="10">
        <v>969.42</v>
      </c>
      <c r="I979" s="7">
        <v>218.08</v>
      </c>
      <c r="J979" s="7">
        <v>18.059999999999999</v>
      </c>
      <c r="K979" s="2" t="s">
        <v>797</v>
      </c>
      <c r="L979" s="16" t="s">
        <v>920</v>
      </c>
      <c r="M979" s="4" t="s">
        <v>563</v>
      </c>
      <c r="N979" s="2" t="s">
        <v>566</v>
      </c>
      <c r="O979" s="2" t="s">
        <v>570</v>
      </c>
      <c r="P979" s="2" t="s">
        <v>574</v>
      </c>
      <c r="Q979" s="1" t="s">
        <v>644</v>
      </c>
      <c r="R979" s="2" t="s">
        <v>590</v>
      </c>
      <c r="S979" s="8">
        <f>B979+2</f>
        <v>39956</v>
      </c>
    </row>
    <row r="980" spans="1:19" x14ac:dyDescent="0.15">
      <c r="A980" s="1">
        <v>23328</v>
      </c>
      <c r="B980" s="6">
        <f>DATE(2012,12,31)-838</f>
        <v>40436</v>
      </c>
      <c r="C980" s="2" t="s">
        <v>913</v>
      </c>
      <c r="D980" s="1">
        <v>39</v>
      </c>
      <c r="E980" s="1">
        <v>5740.32</v>
      </c>
      <c r="F980" s="1">
        <v>0.03</v>
      </c>
      <c r="G980" s="2" t="s">
        <v>562</v>
      </c>
      <c r="H980" s="10">
        <v>1285.74</v>
      </c>
      <c r="I980" s="7">
        <v>145.44999999999999</v>
      </c>
      <c r="J980" s="7">
        <v>17.850000000000001</v>
      </c>
      <c r="K980" s="2" t="s">
        <v>894</v>
      </c>
      <c r="L980" s="16" t="s">
        <v>920</v>
      </c>
      <c r="M980" s="4" t="s">
        <v>563</v>
      </c>
      <c r="N980" s="2" t="s">
        <v>565</v>
      </c>
      <c r="O980" s="2" t="s">
        <v>569</v>
      </c>
      <c r="P980" s="2" t="s">
        <v>583</v>
      </c>
      <c r="Q980" s="1" t="s">
        <v>544</v>
      </c>
      <c r="R980" s="2" t="s">
        <v>586</v>
      </c>
      <c r="S980" s="8">
        <f>B980+1</f>
        <v>40437</v>
      </c>
    </row>
    <row r="981" spans="1:19" x14ac:dyDescent="0.15">
      <c r="A981" s="1">
        <v>24260</v>
      </c>
      <c r="B981" s="6">
        <f>DATE(2012,12,31)-820</f>
        <v>40454</v>
      </c>
      <c r="C981" s="2" t="s">
        <v>915</v>
      </c>
      <c r="D981" s="1">
        <v>48</v>
      </c>
      <c r="E981" s="1">
        <v>548.29999999999995</v>
      </c>
      <c r="F981" s="1">
        <v>0.09</v>
      </c>
      <c r="G981" s="2" t="s">
        <v>561</v>
      </c>
      <c r="H981" s="10">
        <v>-47.92</v>
      </c>
      <c r="I981" s="7">
        <v>11.97</v>
      </c>
      <c r="J981" s="7">
        <v>4.9800000000000004</v>
      </c>
      <c r="K981" s="2" t="s">
        <v>798</v>
      </c>
      <c r="L981" s="16" t="s">
        <v>920</v>
      </c>
      <c r="M981" s="4" t="s">
        <v>563</v>
      </c>
      <c r="N981" s="2" t="s">
        <v>567</v>
      </c>
      <c r="O981" s="2" t="s">
        <v>568</v>
      </c>
      <c r="P981" s="2" t="s">
        <v>576</v>
      </c>
      <c r="Q981" s="1" t="s">
        <v>309</v>
      </c>
      <c r="R981" s="2" t="s">
        <v>585</v>
      </c>
      <c r="S981" s="8">
        <f>B981+1</f>
        <v>40455</v>
      </c>
    </row>
    <row r="982" spans="1:19" x14ac:dyDescent="0.15">
      <c r="A982" s="1">
        <v>24261</v>
      </c>
      <c r="B982" s="6">
        <f>DATE(2012,12,31)-105</f>
        <v>41169</v>
      </c>
      <c r="C982" s="2" t="s">
        <v>917</v>
      </c>
      <c r="D982" s="1">
        <v>28</v>
      </c>
      <c r="E982" s="1">
        <v>946.27</v>
      </c>
      <c r="F982" s="1">
        <v>0.06</v>
      </c>
      <c r="G982" s="2" t="s">
        <v>560</v>
      </c>
      <c r="H982" s="10">
        <v>66.38</v>
      </c>
      <c r="I982" s="7">
        <v>33.29</v>
      </c>
      <c r="J982" s="7">
        <v>8.74</v>
      </c>
      <c r="K982" s="2" t="s">
        <v>888</v>
      </c>
      <c r="L982" s="16" t="s">
        <v>920</v>
      </c>
      <c r="M982" s="4" t="s">
        <v>563</v>
      </c>
      <c r="N982" s="2" t="s">
        <v>565</v>
      </c>
      <c r="O982" s="2" t="s">
        <v>568</v>
      </c>
      <c r="P982" s="2" t="s">
        <v>577</v>
      </c>
      <c r="Q982" s="1" t="s">
        <v>278</v>
      </c>
      <c r="R982" s="2" t="s">
        <v>585</v>
      </c>
      <c r="S982" s="8">
        <f>B982+2</f>
        <v>41171</v>
      </c>
    </row>
    <row r="983" spans="1:19" x14ac:dyDescent="0.15">
      <c r="A983" s="1">
        <v>26054</v>
      </c>
      <c r="B983" s="6">
        <f>DATE(2012,12,31)-1053</f>
        <v>40221</v>
      </c>
      <c r="C983" s="2" t="s">
        <v>917</v>
      </c>
      <c r="D983" s="1">
        <v>47</v>
      </c>
      <c r="E983" s="1">
        <v>396.78</v>
      </c>
      <c r="F983" s="1">
        <v>0.09</v>
      </c>
      <c r="G983" s="2" t="s">
        <v>560</v>
      </c>
      <c r="H983" s="10">
        <v>-321.20999999999998</v>
      </c>
      <c r="I983" s="7">
        <v>8.3699999999999992</v>
      </c>
      <c r="J983" s="7">
        <v>10.16</v>
      </c>
      <c r="K983" s="2" t="s">
        <v>894</v>
      </c>
      <c r="L983" s="16" t="s">
        <v>920</v>
      </c>
      <c r="M983" s="4" t="s">
        <v>563</v>
      </c>
      <c r="N983" s="2" t="s">
        <v>565</v>
      </c>
      <c r="O983" s="2" t="s">
        <v>570</v>
      </c>
      <c r="P983" s="2" t="s">
        <v>579</v>
      </c>
      <c r="Q983" s="1" t="s">
        <v>426</v>
      </c>
      <c r="R983" s="2" t="s">
        <v>590</v>
      </c>
      <c r="S983" s="8">
        <f>B983+2</f>
        <v>40223</v>
      </c>
    </row>
    <row r="984" spans="1:19" x14ac:dyDescent="0.15">
      <c r="A984" s="1">
        <v>27750</v>
      </c>
      <c r="B984" s="6">
        <f>DATE(2012,12,31)-73</f>
        <v>41201</v>
      </c>
      <c r="C984" s="2" t="s">
        <v>916</v>
      </c>
      <c r="D984" s="1">
        <v>12</v>
      </c>
      <c r="E984" s="1">
        <v>769.17</v>
      </c>
      <c r="F984" s="1">
        <v>0</v>
      </c>
      <c r="G984" s="2" t="s">
        <v>562</v>
      </c>
      <c r="H984" s="10">
        <v>-212.01</v>
      </c>
      <c r="I984" s="7">
        <v>58.14</v>
      </c>
      <c r="J984" s="7">
        <v>36.61</v>
      </c>
      <c r="K984" s="2" t="s">
        <v>882</v>
      </c>
      <c r="L984" s="16" t="s">
        <v>920</v>
      </c>
      <c r="M984" s="4" t="s">
        <v>563</v>
      </c>
      <c r="N984" s="2" t="s">
        <v>565</v>
      </c>
      <c r="O984" s="2" t="s">
        <v>570</v>
      </c>
      <c r="P984" s="2" t="s">
        <v>581</v>
      </c>
      <c r="Q984" s="1" t="s">
        <v>381</v>
      </c>
      <c r="R984" s="2" t="s">
        <v>588</v>
      </c>
      <c r="S984" s="8">
        <f>B984+4</f>
        <v>41205</v>
      </c>
    </row>
    <row r="985" spans="1:19" x14ac:dyDescent="0.15">
      <c r="A985" s="1">
        <v>27750</v>
      </c>
      <c r="B985" s="6">
        <f>DATE(2012,12,31)-73</f>
        <v>41201</v>
      </c>
      <c r="C985" s="2" t="s">
        <v>916</v>
      </c>
      <c r="D985" s="1">
        <v>18</v>
      </c>
      <c r="E985" s="1">
        <v>7370.84</v>
      </c>
      <c r="F985" s="1">
        <v>0.09</v>
      </c>
      <c r="G985" s="2" t="s">
        <v>562</v>
      </c>
      <c r="H985" s="10">
        <v>999.86500000000001</v>
      </c>
      <c r="I985" s="7">
        <v>449.99</v>
      </c>
      <c r="J985" s="7">
        <v>49</v>
      </c>
      <c r="K985" s="2" t="s">
        <v>882</v>
      </c>
      <c r="L985" s="16" t="s">
        <v>920</v>
      </c>
      <c r="M985" s="4" t="s">
        <v>563</v>
      </c>
      <c r="N985" s="2" t="s">
        <v>565</v>
      </c>
      <c r="O985" s="2" t="s">
        <v>569</v>
      </c>
      <c r="P985" s="2" t="s">
        <v>90</v>
      </c>
      <c r="Q985" s="1" t="s">
        <v>518</v>
      </c>
      <c r="R985" s="2" t="s">
        <v>586</v>
      </c>
      <c r="S985" s="8">
        <f>B985+0</f>
        <v>41201</v>
      </c>
    </row>
    <row r="986" spans="1:19" x14ac:dyDescent="0.15">
      <c r="A986" s="1">
        <v>27872</v>
      </c>
      <c r="B986" s="6">
        <f>DATE(2012,12,31)-445</f>
        <v>40829</v>
      </c>
      <c r="C986" s="2" t="s">
        <v>915</v>
      </c>
      <c r="D986" s="1">
        <v>25</v>
      </c>
      <c r="E986" s="1">
        <v>388.71</v>
      </c>
      <c r="F986" s="1">
        <v>0.01</v>
      </c>
      <c r="G986" s="2" t="s">
        <v>560</v>
      </c>
      <c r="H986" s="10">
        <v>36.430999999999997</v>
      </c>
      <c r="I986" s="7">
        <v>14.27</v>
      </c>
      <c r="J986" s="7">
        <v>7.27</v>
      </c>
      <c r="K986" s="2" t="s">
        <v>840</v>
      </c>
      <c r="L986" s="16" t="s">
        <v>920</v>
      </c>
      <c r="M986" s="4" t="s">
        <v>563</v>
      </c>
      <c r="N986" s="2" t="s">
        <v>567</v>
      </c>
      <c r="O986" s="2" t="s">
        <v>568</v>
      </c>
      <c r="P986" s="2" t="s">
        <v>88</v>
      </c>
      <c r="Q986" s="1" t="s">
        <v>384</v>
      </c>
      <c r="R986" s="2" t="s">
        <v>585</v>
      </c>
      <c r="S986" s="8">
        <f>B986+2</f>
        <v>40831</v>
      </c>
    </row>
    <row r="987" spans="1:19" x14ac:dyDescent="0.15">
      <c r="A987" s="1">
        <v>31109</v>
      </c>
      <c r="B987" s="6">
        <f>DATE(2012,12,31)-430</f>
        <v>40844</v>
      </c>
      <c r="C987" s="2" t="s">
        <v>916</v>
      </c>
      <c r="D987" s="1">
        <v>49</v>
      </c>
      <c r="E987" s="1">
        <v>1515</v>
      </c>
      <c r="F987" s="1">
        <v>0.08</v>
      </c>
      <c r="G987" s="2" t="s">
        <v>560</v>
      </c>
      <c r="H987" s="10">
        <v>219.03649999999999</v>
      </c>
      <c r="I987" s="7">
        <v>31.74</v>
      </c>
      <c r="J987" s="7">
        <v>12.62</v>
      </c>
      <c r="K987" s="2" t="s">
        <v>888</v>
      </c>
      <c r="L987" s="16" t="s">
        <v>920</v>
      </c>
      <c r="M987" s="4" t="s">
        <v>563</v>
      </c>
      <c r="N987" s="2" t="s">
        <v>565</v>
      </c>
      <c r="O987" s="2" t="s">
        <v>568</v>
      </c>
      <c r="P987" s="2" t="s">
        <v>88</v>
      </c>
      <c r="Q987" s="1" t="s">
        <v>427</v>
      </c>
      <c r="R987" s="2" t="s">
        <v>585</v>
      </c>
      <c r="S987" s="8">
        <f>B987+4</f>
        <v>40848</v>
      </c>
    </row>
    <row r="988" spans="1:19" x14ac:dyDescent="0.15">
      <c r="A988" s="1">
        <v>32165</v>
      </c>
      <c r="B988" s="6">
        <f>DATE(2012,12,31)-78</f>
        <v>41196</v>
      </c>
      <c r="C988" s="2" t="s">
        <v>915</v>
      </c>
      <c r="D988" s="1">
        <v>47</v>
      </c>
      <c r="E988" s="1">
        <v>3413.69</v>
      </c>
      <c r="F988" s="1">
        <v>0.06</v>
      </c>
      <c r="G988" s="2" t="s">
        <v>560</v>
      </c>
      <c r="H988" s="10">
        <v>175.24</v>
      </c>
      <c r="I988" s="7">
        <v>73.98</v>
      </c>
      <c r="J988" s="7">
        <v>14.52</v>
      </c>
      <c r="K988" s="2" t="s">
        <v>882</v>
      </c>
      <c r="L988" s="16" t="s">
        <v>920</v>
      </c>
      <c r="M988" s="4" t="s">
        <v>563</v>
      </c>
      <c r="N988" s="2" t="s">
        <v>565</v>
      </c>
      <c r="O988" s="2" t="s">
        <v>569</v>
      </c>
      <c r="P988" s="2" t="s">
        <v>572</v>
      </c>
      <c r="Q988" s="1" t="s">
        <v>705</v>
      </c>
      <c r="R988" s="2" t="s">
        <v>585</v>
      </c>
      <c r="S988" s="8">
        <f>B988+2</f>
        <v>41198</v>
      </c>
    </row>
    <row r="989" spans="1:19" x14ac:dyDescent="0.15">
      <c r="A989" s="1">
        <v>32165</v>
      </c>
      <c r="B989" s="6">
        <f>DATE(2012,12,31)-78</f>
        <v>41196</v>
      </c>
      <c r="C989" s="2" t="s">
        <v>915</v>
      </c>
      <c r="D989" s="1">
        <v>38</v>
      </c>
      <c r="E989" s="1">
        <v>2939.6824999999999</v>
      </c>
      <c r="F989" s="1">
        <v>0.02</v>
      </c>
      <c r="G989" s="2" t="s">
        <v>560</v>
      </c>
      <c r="H989" s="10">
        <v>192.06</v>
      </c>
      <c r="I989" s="7">
        <v>85.99</v>
      </c>
      <c r="J989" s="7">
        <v>0.99</v>
      </c>
      <c r="K989" s="2" t="s">
        <v>882</v>
      </c>
      <c r="L989" s="16" t="s">
        <v>920</v>
      </c>
      <c r="M989" s="4" t="s">
        <v>563</v>
      </c>
      <c r="N989" s="2" t="s">
        <v>565</v>
      </c>
      <c r="O989" s="2" t="s">
        <v>569</v>
      </c>
      <c r="P989" s="2" t="s">
        <v>87</v>
      </c>
      <c r="Q989" s="1" t="s">
        <v>447</v>
      </c>
      <c r="R989" s="2" t="s">
        <v>584</v>
      </c>
      <c r="S989" s="8">
        <f>B989+1</f>
        <v>41197</v>
      </c>
    </row>
    <row r="990" spans="1:19" x14ac:dyDescent="0.15">
      <c r="A990" s="1">
        <v>32325</v>
      </c>
      <c r="B990" s="6">
        <f>DATE(2012,12,31)-60</f>
        <v>41214</v>
      </c>
      <c r="C990" s="2" t="s">
        <v>917</v>
      </c>
      <c r="D990" s="1">
        <v>45</v>
      </c>
      <c r="E990" s="1">
        <v>1103.73</v>
      </c>
      <c r="F990" s="1">
        <v>0</v>
      </c>
      <c r="G990" s="2" t="s">
        <v>560</v>
      </c>
      <c r="H990" s="10">
        <v>189.28</v>
      </c>
      <c r="I990" s="7">
        <v>22.98</v>
      </c>
      <c r="J990" s="7">
        <v>7.58</v>
      </c>
      <c r="K990" s="2" t="s">
        <v>883</v>
      </c>
      <c r="L990" s="16" t="s">
        <v>920</v>
      </c>
      <c r="M990" s="4" t="s">
        <v>563</v>
      </c>
      <c r="N990" s="2" t="s">
        <v>567</v>
      </c>
      <c r="O990" s="2" t="s">
        <v>570</v>
      </c>
      <c r="P990" s="2" t="s">
        <v>579</v>
      </c>
      <c r="Q990" s="1" t="s">
        <v>54</v>
      </c>
      <c r="R990" s="2" t="s">
        <v>585</v>
      </c>
      <c r="S990" s="8">
        <f>B990+1</f>
        <v>41215</v>
      </c>
    </row>
    <row r="991" spans="1:19" x14ac:dyDescent="0.15">
      <c r="A991" s="1">
        <v>32931</v>
      </c>
      <c r="B991" s="6">
        <f>DATE(2012,12,31)-1050</f>
        <v>40224</v>
      </c>
      <c r="C991" s="2" t="s">
        <v>916</v>
      </c>
      <c r="D991" s="1">
        <v>31</v>
      </c>
      <c r="E991" s="1">
        <v>86.1</v>
      </c>
      <c r="F991" s="1">
        <v>0.06</v>
      </c>
      <c r="G991" s="2" t="s">
        <v>560</v>
      </c>
      <c r="H991" s="10">
        <v>32.700000000000003</v>
      </c>
      <c r="I991" s="7">
        <v>2.88</v>
      </c>
      <c r="J991" s="7">
        <v>0.5</v>
      </c>
      <c r="K991" s="2" t="s">
        <v>840</v>
      </c>
      <c r="L991" s="16" t="s">
        <v>920</v>
      </c>
      <c r="M991" s="4" t="s">
        <v>563</v>
      </c>
      <c r="N991" s="2" t="s">
        <v>567</v>
      </c>
      <c r="O991" s="2" t="s">
        <v>568</v>
      </c>
      <c r="P991" s="2" t="s">
        <v>582</v>
      </c>
      <c r="Q991" s="1" t="s">
        <v>650</v>
      </c>
      <c r="R991" s="2" t="s">
        <v>585</v>
      </c>
      <c r="S991" s="8">
        <f>B991+7</f>
        <v>40231</v>
      </c>
    </row>
    <row r="992" spans="1:19" x14ac:dyDescent="0.15">
      <c r="A992" s="1">
        <v>32931</v>
      </c>
      <c r="B992" s="6">
        <f>DATE(2012,12,31)-1050</f>
        <v>40224</v>
      </c>
      <c r="C992" s="2" t="s">
        <v>916</v>
      </c>
      <c r="D992" s="1">
        <v>25</v>
      </c>
      <c r="E992" s="1">
        <v>298.11</v>
      </c>
      <c r="F992" s="1">
        <v>0.08</v>
      </c>
      <c r="G992" s="2" t="s">
        <v>560</v>
      </c>
      <c r="H992" s="10">
        <v>-60.79</v>
      </c>
      <c r="I992" s="7">
        <v>12.44</v>
      </c>
      <c r="J992" s="7">
        <v>6.27</v>
      </c>
      <c r="K992" s="2" t="s">
        <v>840</v>
      </c>
      <c r="L992" s="16" t="s">
        <v>920</v>
      </c>
      <c r="M992" s="4" t="s">
        <v>563</v>
      </c>
      <c r="N992" s="2" t="s">
        <v>567</v>
      </c>
      <c r="O992" s="2" t="s">
        <v>568</v>
      </c>
      <c r="P992" s="2" t="s">
        <v>577</v>
      </c>
      <c r="Q992" s="1" t="s">
        <v>226</v>
      </c>
      <c r="R992" s="2" t="s">
        <v>589</v>
      </c>
      <c r="S992" s="8">
        <f>B992+5</f>
        <v>40229</v>
      </c>
    </row>
    <row r="993" spans="1:19" x14ac:dyDescent="0.15">
      <c r="A993" s="1">
        <v>33189</v>
      </c>
      <c r="B993" s="6">
        <f>DATE(2012,12,31)-1137</f>
        <v>40137</v>
      </c>
      <c r="C993" s="2" t="s">
        <v>916</v>
      </c>
      <c r="D993" s="1">
        <v>3</v>
      </c>
      <c r="E993" s="1">
        <v>87.21</v>
      </c>
      <c r="F993" s="1">
        <v>0.02</v>
      </c>
      <c r="G993" s="2" t="s">
        <v>560</v>
      </c>
      <c r="H993" s="10">
        <v>-96.54</v>
      </c>
      <c r="I993" s="7">
        <v>27.48</v>
      </c>
      <c r="J993" s="7">
        <v>4</v>
      </c>
      <c r="K993" s="2" t="s">
        <v>889</v>
      </c>
      <c r="L993" s="16" t="s">
        <v>920</v>
      </c>
      <c r="M993" s="4" t="s">
        <v>563</v>
      </c>
      <c r="N993" s="2" t="s">
        <v>566</v>
      </c>
      <c r="O993" s="2" t="s">
        <v>569</v>
      </c>
      <c r="P993" s="2" t="s">
        <v>572</v>
      </c>
      <c r="Q993" s="1" t="s">
        <v>721</v>
      </c>
      <c r="R993" s="2" t="s">
        <v>585</v>
      </c>
      <c r="S993" s="8">
        <f>B993+7</f>
        <v>40144</v>
      </c>
    </row>
    <row r="994" spans="1:19" x14ac:dyDescent="0.15">
      <c r="A994" s="1">
        <v>33189</v>
      </c>
      <c r="B994" s="6">
        <f>DATE(2012,12,31)-1137</f>
        <v>40137</v>
      </c>
      <c r="C994" s="2" t="s">
        <v>916</v>
      </c>
      <c r="D994" s="1">
        <v>5</v>
      </c>
      <c r="E994" s="1">
        <v>50.19</v>
      </c>
      <c r="F994" s="1">
        <v>0.08</v>
      </c>
      <c r="G994" s="2" t="s">
        <v>560</v>
      </c>
      <c r="H994" s="10">
        <v>0.14999999999999858</v>
      </c>
      <c r="I994" s="7">
        <v>10.06</v>
      </c>
      <c r="J994" s="7">
        <v>2.06</v>
      </c>
      <c r="K994" s="2" t="s">
        <v>889</v>
      </c>
      <c r="L994" s="16" t="s">
        <v>920</v>
      </c>
      <c r="M994" s="4" t="s">
        <v>563</v>
      </c>
      <c r="N994" s="2" t="s">
        <v>566</v>
      </c>
      <c r="O994" s="2" t="s">
        <v>568</v>
      </c>
      <c r="P994" s="2" t="s">
        <v>573</v>
      </c>
      <c r="Q994" s="1" t="s">
        <v>186</v>
      </c>
      <c r="R994" s="2" t="s">
        <v>584</v>
      </c>
      <c r="S994" s="8">
        <f>B994+4</f>
        <v>40141</v>
      </c>
    </row>
    <row r="995" spans="1:19" x14ac:dyDescent="0.15">
      <c r="A995" s="1">
        <v>33479</v>
      </c>
      <c r="B995" s="6">
        <f>DATE(2012,12,31)-104</f>
        <v>41170</v>
      </c>
      <c r="C995" s="2" t="s">
        <v>917</v>
      </c>
      <c r="D995" s="1">
        <v>50</v>
      </c>
      <c r="E995" s="1">
        <v>762.2</v>
      </c>
      <c r="F995" s="1">
        <v>7.0000000000000007E-2</v>
      </c>
      <c r="G995" s="2" t="s">
        <v>560</v>
      </c>
      <c r="H995" s="10">
        <v>16.566499999999998</v>
      </c>
      <c r="I995" s="7">
        <v>15.01</v>
      </c>
      <c r="J995" s="7">
        <v>8.4</v>
      </c>
      <c r="K995" s="2" t="s">
        <v>835</v>
      </c>
      <c r="L995" s="16" t="s">
        <v>920</v>
      </c>
      <c r="M995" s="4" t="s">
        <v>563</v>
      </c>
      <c r="N995" s="2" t="s">
        <v>564</v>
      </c>
      <c r="O995" s="2" t="s">
        <v>568</v>
      </c>
      <c r="P995" s="2" t="s">
        <v>88</v>
      </c>
      <c r="Q995" s="1" t="s">
        <v>335</v>
      </c>
      <c r="R995" s="2" t="s">
        <v>585</v>
      </c>
      <c r="S995" s="8">
        <f>B995+2</f>
        <v>41172</v>
      </c>
    </row>
    <row r="996" spans="1:19" x14ac:dyDescent="0.15">
      <c r="A996" s="1">
        <v>33479</v>
      </c>
      <c r="B996" s="6">
        <f>DATE(2012,12,31)-104</f>
        <v>41170</v>
      </c>
      <c r="C996" s="2" t="s">
        <v>917</v>
      </c>
      <c r="D996" s="1">
        <v>27</v>
      </c>
      <c r="E996" s="1">
        <v>235.45</v>
      </c>
      <c r="F996" s="1">
        <v>0.06</v>
      </c>
      <c r="G996" s="2" t="s">
        <v>560</v>
      </c>
      <c r="H996" s="10">
        <v>-8.82</v>
      </c>
      <c r="I996" s="7">
        <v>8.56</v>
      </c>
      <c r="J996" s="7">
        <v>5.16</v>
      </c>
      <c r="K996" s="2" t="s">
        <v>835</v>
      </c>
      <c r="L996" s="16" t="s">
        <v>920</v>
      </c>
      <c r="M996" s="4" t="s">
        <v>563</v>
      </c>
      <c r="N996" s="2" t="s">
        <v>564</v>
      </c>
      <c r="O996" s="2" t="s">
        <v>568</v>
      </c>
      <c r="P996" s="2" t="s">
        <v>573</v>
      </c>
      <c r="Q996" s="1" t="s">
        <v>162</v>
      </c>
      <c r="R996" s="2" t="s">
        <v>584</v>
      </c>
      <c r="S996" s="8">
        <f>B996+2</f>
        <v>41172</v>
      </c>
    </row>
    <row r="997" spans="1:19" x14ac:dyDescent="0.15">
      <c r="A997" s="1">
        <v>34311</v>
      </c>
      <c r="B997" s="6">
        <f>DATE(2012,12,31)-1213</f>
        <v>40061</v>
      </c>
      <c r="C997" s="2" t="s">
        <v>913</v>
      </c>
      <c r="D997" s="1">
        <v>39</v>
      </c>
      <c r="E997" s="1">
        <v>132.79</v>
      </c>
      <c r="F997" s="1">
        <v>0.05</v>
      </c>
      <c r="G997" s="2" t="s">
        <v>560</v>
      </c>
      <c r="H997" s="10">
        <v>-100.24</v>
      </c>
      <c r="I997" s="7">
        <v>3.28</v>
      </c>
      <c r="J997" s="7">
        <v>3.97</v>
      </c>
      <c r="K997" s="2" t="s">
        <v>792</v>
      </c>
      <c r="L997" s="16" t="s">
        <v>920</v>
      </c>
      <c r="M997" s="4" t="s">
        <v>563</v>
      </c>
      <c r="N997" s="2" t="s">
        <v>567</v>
      </c>
      <c r="O997" s="2" t="s">
        <v>568</v>
      </c>
      <c r="P997" s="2" t="s">
        <v>571</v>
      </c>
      <c r="Q997" s="1" t="s">
        <v>164</v>
      </c>
      <c r="R997" s="2" t="s">
        <v>584</v>
      </c>
      <c r="S997" s="8">
        <f>B997+1</f>
        <v>40062</v>
      </c>
    </row>
    <row r="998" spans="1:19" x14ac:dyDescent="0.15">
      <c r="A998" s="1">
        <v>34311</v>
      </c>
      <c r="B998" s="6">
        <f>DATE(2012,12,31)-1213</f>
        <v>40061</v>
      </c>
      <c r="C998" s="2" t="s">
        <v>913</v>
      </c>
      <c r="D998" s="1">
        <v>32</v>
      </c>
      <c r="E998" s="1">
        <v>232.85</v>
      </c>
      <c r="F998" s="1">
        <v>0.03</v>
      </c>
      <c r="G998" s="2" t="s">
        <v>560</v>
      </c>
      <c r="H998" s="10">
        <v>-262.62</v>
      </c>
      <c r="I998" s="7">
        <v>6.98</v>
      </c>
      <c r="J998" s="7">
        <v>9.69</v>
      </c>
      <c r="K998" s="2" t="s">
        <v>792</v>
      </c>
      <c r="L998" s="16" t="s">
        <v>920</v>
      </c>
      <c r="M998" s="4" t="s">
        <v>563</v>
      </c>
      <c r="N998" s="2" t="s">
        <v>567</v>
      </c>
      <c r="O998" s="2" t="s">
        <v>568</v>
      </c>
      <c r="P998" s="2" t="s">
        <v>577</v>
      </c>
      <c r="Q998" s="1" t="s">
        <v>458</v>
      </c>
      <c r="R998" s="2" t="s">
        <v>585</v>
      </c>
      <c r="S998" s="8">
        <f>B998+2</f>
        <v>40063</v>
      </c>
    </row>
    <row r="999" spans="1:19" x14ac:dyDescent="0.15">
      <c r="A999" s="1">
        <v>35111</v>
      </c>
      <c r="B999" s="6">
        <f>DATE(2012,12,31)-940</f>
        <v>40334</v>
      </c>
      <c r="C999" s="2" t="s">
        <v>917</v>
      </c>
      <c r="D999" s="1">
        <v>39</v>
      </c>
      <c r="E999" s="1">
        <v>893.29</v>
      </c>
      <c r="F999" s="1">
        <v>0.08</v>
      </c>
      <c r="G999" s="2" t="s">
        <v>560</v>
      </c>
      <c r="H999" s="10">
        <v>256.16000000000003</v>
      </c>
      <c r="I999" s="7">
        <v>23.99</v>
      </c>
      <c r="J999" s="7">
        <v>6.71</v>
      </c>
      <c r="K999" s="2" t="s">
        <v>888</v>
      </c>
      <c r="L999" s="16" t="s">
        <v>920</v>
      </c>
      <c r="M999" s="4" t="s">
        <v>563</v>
      </c>
      <c r="N999" s="2" t="s">
        <v>565</v>
      </c>
      <c r="O999" s="2" t="s">
        <v>568</v>
      </c>
      <c r="P999" s="2" t="s">
        <v>575</v>
      </c>
      <c r="Q999" s="1" t="s">
        <v>344</v>
      </c>
      <c r="R999" s="2" t="s">
        <v>585</v>
      </c>
      <c r="S999" s="8">
        <f>B999+2</f>
        <v>40336</v>
      </c>
    </row>
    <row r="1000" spans="1:19" x14ac:dyDescent="0.15">
      <c r="A1000" s="1">
        <v>35173</v>
      </c>
      <c r="B1000" s="6">
        <f>DATE(2012,12,31)-293</f>
        <v>40981</v>
      </c>
      <c r="C1000" s="2" t="s">
        <v>915</v>
      </c>
      <c r="D1000" s="1">
        <v>29</v>
      </c>
      <c r="E1000" s="1">
        <v>6483.26</v>
      </c>
      <c r="F1000" s="1">
        <v>0.09</v>
      </c>
      <c r="G1000" s="2" t="s">
        <v>562</v>
      </c>
      <c r="H1000" s="10">
        <v>341.98</v>
      </c>
      <c r="I1000" s="7">
        <v>240.98</v>
      </c>
      <c r="J1000" s="7">
        <v>60.2</v>
      </c>
      <c r="K1000" s="2" t="s">
        <v>792</v>
      </c>
      <c r="L1000" s="16" t="s">
        <v>920</v>
      </c>
      <c r="M1000" s="4" t="s">
        <v>563</v>
      </c>
      <c r="N1000" s="2" t="s">
        <v>567</v>
      </c>
      <c r="O1000" s="2" t="s">
        <v>570</v>
      </c>
      <c r="P1000" s="2" t="s">
        <v>581</v>
      </c>
      <c r="Q1000" s="1" t="s">
        <v>493</v>
      </c>
      <c r="R1000" s="2" t="s">
        <v>588</v>
      </c>
      <c r="S1000" s="8">
        <f>B1000+2</f>
        <v>40983</v>
      </c>
    </row>
    <row r="1001" spans="1:19" x14ac:dyDescent="0.15">
      <c r="A1001" s="1">
        <v>35173</v>
      </c>
      <c r="B1001" s="6">
        <f>DATE(2012,12,31)-293</f>
        <v>40981</v>
      </c>
      <c r="C1001" s="2" t="s">
        <v>915</v>
      </c>
      <c r="D1001" s="1">
        <v>13</v>
      </c>
      <c r="E1001" s="1">
        <v>1446.2070000000001</v>
      </c>
      <c r="F1001" s="1">
        <v>0.02</v>
      </c>
      <c r="G1001" s="2" t="s">
        <v>560</v>
      </c>
      <c r="H1001" s="10">
        <v>29.556000000000004</v>
      </c>
      <c r="I1001" s="7">
        <v>125.99</v>
      </c>
      <c r="J1001" s="7">
        <v>8.08</v>
      </c>
      <c r="K1001" s="2" t="s">
        <v>792</v>
      </c>
      <c r="L1001" s="16" t="s">
        <v>920</v>
      </c>
      <c r="M1001" s="4" t="s">
        <v>563</v>
      </c>
      <c r="N1001" s="2" t="s">
        <v>567</v>
      </c>
      <c r="O1001" s="2" t="s">
        <v>569</v>
      </c>
      <c r="P1001" s="2" t="s">
        <v>87</v>
      </c>
      <c r="Q1001" s="1" t="s">
        <v>494</v>
      </c>
      <c r="R1001" s="2" t="s">
        <v>585</v>
      </c>
      <c r="S1001" s="8">
        <f>B1001+2</f>
        <v>40983</v>
      </c>
    </row>
    <row r="1002" spans="1:19" x14ac:dyDescent="0.15">
      <c r="A1002" s="1">
        <v>36773</v>
      </c>
      <c r="B1002" s="6">
        <f>DATE(2012,12,31)-830</f>
        <v>40444</v>
      </c>
      <c r="C1002" s="2" t="s">
        <v>915</v>
      </c>
      <c r="D1002" s="1">
        <v>24</v>
      </c>
      <c r="E1002" s="1">
        <v>2048.7800000000002</v>
      </c>
      <c r="F1002" s="1">
        <v>0.05</v>
      </c>
      <c r="G1002" s="2" t="s">
        <v>560</v>
      </c>
      <c r="H1002" s="10">
        <v>994.68</v>
      </c>
      <c r="I1002" s="7">
        <v>83.98</v>
      </c>
      <c r="J1002" s="7">
        <v>5.01</v>
      </c>
      <c r="K1002" s="2" t="s">
        <v>882</v>
      </c>
      <c r="L1002" s="16" t="s">
        <v>920</v>
      </c>
      <c r="M1002" s="4" t="s">
        <v>563</v>
      </c>
      <c r="N1002" s="2" t="s">
        <v>565</v>
      </c>
      <c r="O1002" s="2" t="s">
        <v>568</v>
      </c>
      <c r="P1002" s="2" t="s">
        <v>575</v>
      </c>
      <c r="Q1002" s="1" t="s">
        <v>295</v>
      </c>
      <c r="R1002" s="2" t="s">
        <v>585</v>
      </c>
      <c r="S1002" s="8">
        <f>B1002+2</f>
        <v>40446</v>
      </c>
    </row>
    <row r="1003" spans="1:19" x14ac:dyDescent="0.15">
      <c r="A1003" s="1">
        <v>36997</v>
      </c>
      <c r="B1003" s="6">
        <f>DATE(2012,12,31)-757</f>
        <v>40517</v>
      </c>
      <c r="C1003" s="2" t="s">
        <v>915</v>
      </c>
      <c r="D1003" s="1">
        <v>39</v>
      </c>
      <c r="E1003" s="1">
        <v>104.33</v>
      </c>
      <c r="F1003" s="1">
        <v>0</v>
      </c>
      <c r="G1003" s="2" t="s">
        <v>560</v>
      </c>
      <c r="H1003" s="10">
        <v>39.909999999999997</v>
      </c>
      <c r="I1003" s="7">
        <v>2.61</v>
      </c>
      <c r="J1003" s="7">
        <v>0.5</v>
      </c>
      <c r="K1003" s="2" t="s">
        <v>797</v>
      </c>
      <c r="L1003" s="16" t="s">
        <v>920</v>
      </c>
      <c r="M1003" s="4" t="s">
        <v>563</v>
      </c>
      <c r="N1003" s="2" t="s">
        <v>566</v>
      </c>
      <c r="O1003" s="2" t="s">
        <v>568</v>
      </c>
      <c r="P1003" s="2" t="s">
        <v>582</v>
      </c>
      <c r="Q1003" s="1" t="s">
        <v>220</v>
      </c>
      <c r="R1003" s="2" t="s">
        <v>585</v>
      </c>
      <c r="S1003" s="8">
        <f>B1003+1</f>
        <v>40518</v>
      </c>
    </row>
    <row r="1004" spans="1:19" x14ac:dyDescent="0.15">
      <c r="A1004" s="1">
        <v>37700</v>
      </c>
      <c r="B1004" s="6">
        <f>DATE(2012,12,31)-1119</f>
        <v>40155</v>
      </c>
      <c r="C1004" s="2" t="s">
        <v>917</v>
      </c>
      <c r="D1004" s="1">
        <v>27</v>
      </c>
      <c r="E1004" s="1">
        <v>3390.51</v>
      </c>
      <c r="F1004" s="1">
        <v>0.05</v>
      </c>
      <c r="G1004" s="2" t="s">
        <v>561</v>
      </c>
      <c r="H1004" s="10">
        <v>1169.7105000000001</v>
      </c>
      <c r="I1004" s="7">
        <v>122.99</v>
      </c>
      <c r="J1004" s="7">
        <v>19.989999999999998</v>
      </c>
      <c r="K1004" s="2" t="s">
        <v>840</v>
      </c>
      <c r="L1004" s="16" t="s">
        <v>920</v>
      </c>
      <c r="M1004" s="4" t="s">
        <v>563</v>
      </c>
      <c r="N1004" s="2" t="s">
        <v>567</v>
      </c>
      <c r="O1004" s="2" t="s">
        <v>568</v>
      </c>
      <c r="P1004" s="2" t="s">
        <v>88</v>
      </c>
      <c r="Q1004" s="1" t="s">
        <v>752</v>
      </c>
      <c r="R1004" s="2" t="s">
        <v>585</v>
      </c>
      <c r="S1004" s="8">
        <f>B1004+3</f>
        <v>40158</v>
      </c>
    </row>
    <row r="1005" spans="1:19" x14ac:dyDescent="0.15">
      <c r="A1005" s="1">
        <v>38529</v>
      </c>
      <c r="B1005" s="6">
        <f>DATE(2012,12,31)-1428</f>
        <v>39846</v>
      </c>
      <c r="C1005" s="2" t="s">
        <v>916</v>
      </c>
      <c r="D1005" s="1">
        <v>38</v>
      </c>
      <c r="E1005" s="1">
        <v>44.85</v>
      </c>
      <c r="F1005" s="1">
        <v>0.02</v>
      </c>
      <c r="G1005" s="2" t="s">
        <v>560</v>
      </c>
      <c r="H1005" s="10">
        <v>-0.49</v>
      </c>
      <c r="I1005" s="7">
        <v>1.1399999999999999</v>
      </c>
      <c r="J1005" s="7">
        <v>0.7</v>
      </c>
      <c r="K1005" s="2" t="s">
        <v>883</v>
      </c>
      <c r="L1005" s="16" t="s">
        <v>920</v>
      </c>
      <c r="M1005" s="4" t="s">
        <v>563</v>
      </c>
      <c r="N1005" s="2" t="s">
        <v>567</v>
      </c>
      <c r="O1005" s="2" t="s">
        <v>568</v>
      </c>
      <c r="P1005" s="2" t="s">
        <v>580</v>
      </c>
      <c r="Q1005" s="1" t="s">
        <v>710</v>
      </c>
      <c r="R1005" s="2" t="s">
        <v>584</v>
      </c>
      <c r="S1005" s="8">
        <f>B1005+0</f>
        <v>39846</v>
      </c>
    </row>
    <row r="1006" spans="1:19" x14ac:dyDescent="0.15">
      <c r="A1006" s="1">
        <v>40162</v>
      </c>
      <c r="B1006" s="6">
        <f>DATE(2012,12,31)-1072</f>
        <v>40202</v>
      </c>
      <c r="C1006" s="2" t="s">
        <v>917</v>
      </c>
      <c r="D1006" s="1">
        <v>28</v>
      </c>
      <c r="E1006" s="1">
        <v>1581.23</v>
      </c>
      <c r="F1006" s="1">
        <v>0.03</v>
      </c>
      <c r="G1006" s="2" t="s">
        <v>560</v>
      </c>
      <c r="H1006" s="10">
        <v>760.79</v>
      </c>
      <c r="I1006" s="7">
        <v>55.98</v>
      </c>
      <c r="J1006" s="7">
        <v>5.15</v>
      </c>
      <c r="K1006" s="2" t="s">
        <v>835</v>
      </c>
      <c r="L1006" s="16" t="s">
        <v>920</v>
      </c>
      <c r="M1006" s="4" t="s">
        <v>563</v>
      </c>
      <c r="N1006" s="2" t="s">
        <v>564</v>
      </c>
      <c r="O1006" s="2" t="s">
        <v>568</v>
      </c>
      <c r="P1006" s="2" t="s">
        <v>573</v>
      </c>
      <c r="Q1006" s="1" t="s">
        <v>440</v>
      </c>
      <c r="R1006" s="2" t="s">
        <v>585</v>
      </c>
      <c r="S1006" s="8">
        <f>B1006+2</f>
        <v>40204</v>
      </c>
    </row>
    <row r="1007" spans="1:19" x14ac:dyDescent="0.15">
      <c r="A1007" s="1">
        <v>40612</v>
      </c>
      <c r="B1007" s="6">
        <f>DATE(2012,12,31)-672</f>
        <v>40602</v>
      </c>
      <c r="C1007" s="2" t="s">
        <v>913</v>
      </c>
      <c r="D1007" s="1">
        <v>9</v>
      </c>
      <c r="E1007" s="1">
        <v>19.2</v>
      </c>
      <c r="F1007" s="1">
        <v>0.1</v>
      </c>
      <c r="G1007" s="2" t="s">
        <v>560</v>
      </c>
      <c r="H1007" s="10">
        <v>-6.84</v>
      </c>
      <c r="I1007" s="7">
        <v>2.21</v>
      </c>
      <c r="J1007" s="7">
        <v>1.1200000000000001</v>
      </c>
      <c r="K1007" s="2" t="s">
        <v>840</v>
      </c>
      <c r="L1007" s="16" t="s">
        <v>920</v>
      </c>
      <c r="M1007" s="4" t="s">
        <v>563</v>
      </c>
      <c r="N1007" s="2" t="s">
        <v>567</v>
      </c>
      <c r="O1007" s="2" t="s">
        <v>568</v>
      </c>
      <c r="P1007" s="2" t="s">
        <v>571</v>
      </c>
      <c r="Q1007" s="1" t="s">
        <v>144</v>
      </c>
      <c r="R1007" s="2" t="s">
        <v>584</v>
      </c>
      <c r="S1007" s="8">
        <f>B1007+1</f>
        <v>40603</v>
      </c>
    </row>
    <row r="1008" spans="1:19" x14ac:dyDescent="0.15">
      <c r="A1008" s="1">
        <v>41987</v>
      </c>
      <c r="B1008" s="6">
        <f>DATE(2012,12,31)-437</f>
        <v>40837</v>
      </c>
      <c r="C1008" s="2" t="s">
        <v>915</v>
      </c>
      <c r="D1008" s="1">
        <v>25</v>
      </c>
      <c r="E1008" s="1">
        <v>6481.0480000000007</v>
      </c>
      <c r="F1008" s="1">
        <v>0.05</v>
      </c>
      <c r="G1008" s="2" t="s">
        <v>562</v>
      </c>
      <c r="H1008" s="10">
        <v>1760.11</v>
      </c>
      <c r="I1008" s="7">
        <v>320.64</v>
      </c>
      <c r="J1008" s="7">
        <v>29.2</v>
      </c>
      <c r="K1008" s="2" t="s">
        <v>840</v>
      </c>
      <c r="L1008" s="16" t="s">
        <v>920</v>
      </c>
      <c r="M1008" s="4" t="s">
        <v>563</v>
      </c>
      <c r="N1008" s="2" t="s">
        <v>567</v>
      </c>
      <c r="O1008" s="2" t="s">
        <v>570</v>
      </c>
      <c r="P1008" s="2" t="s">
        <v>578</v>
      </c>
      <c r="Q1008" s="1" t="s">
        <v>392</v>
      </c>
      <c r="R1008" s="2" t="s">
        <v>588</v>
      </c>
      <c r="S1008" s="8">
        <f>B1008+1</f>
        <v>40838</v>
      </c>
    </row>
    <row r="1009" spans="1:19" x14ac:dyDescent="0.15">
      <c r="A1009" s="1">
        <v>42083</v>
      </c>
      <c r="B1009" s="6">
        <f>DATE(2012,12,31)-386</f>
        <v>40888</v>
      </c>
      <c r="C1009" s="2" t="s">
        <v>917</v>
      </c>
      <c r="D1009" s="1">
        <v>38</v>
      </c>
      <c r="E1009" s="1">
        <v>5526.16</v>
      </c>
      <c r="F1009" s="1">
        <v>0.03</v>
      </c>
      <c r="G1009" s="2" t="s">
        <v>560</v>
      </c>
      <c r="H1009" s="10">
        <v>1263.98</v>
      </c>
      <c r="I1009" s="7">
        <v>140.81</v>
      </c>
      <c r="J1009" s="7">
        <v>24.49</v>
      </c>
      <c r="K1009" s="2" t="s">
        <v>629</v>
      </c>
      <c r="L1009" s="16" t="s">
        <v>920</v>
      </c>
      <c r="M1009" s="4" t="s">
        <v>563</v>
      </c>
      <c r="N1009" s="2" t="s">
        <v>566</v>
      </c>
      <c r="O1009" s="2" t="s">
        <v>570</v>
      </c>
      <c r="P1009" s="2" t="s">
        <v>574</v>
      </c>
      <c r="Q1009" s="1" t="s">
        <v>495</v>
      </c>
      <c r="R1009" s="2" t="s">
        <v>590</v>
      </c>
      <c r="S1009" s="8">
        <f>B1009+2</f>
        <v>40890</v>
      </c>
    </row>
    <row r="1010" spans="1:19" x14ac:dyDescent="0.15">
      <c r="A1010" s="1">
        <v>42083</v>
      </c>
      <c r="B1010" s="6">
        <f>DATE(2012,12,31)-386</f>
        <v>40888</v>
      </c>
      <c r="C1010" s="2" t="s">
        <v>917</v>
      </c>
      <c r="D1010" s="1">
        <v>36</v>
      </c>
      <c r="E1010" s="1">
        <v>236.89</v>
      </c>
      <c r="F1010" s="1">
        <v>0.04</v>
      </c>
      <c r="G1010" s="2" t="s">
        <v>560</v>
      </c>
      <c r="H1010" s="10">
        <v>-86.3</v>
      </c>
      <c r="I1010" s="7">
        <v>6.48</v>
      </c>
      <c r="J1010" s="7">
        <v>6.22</v>
      </c>
      <c r="K1010" s="2" t="s">
        <v>629</v>
      </c>
      <c r="L1010" s="16" t="s">
        <v>920</v>
      </c>
      <c r="M1010" s="4" t="s">
        <v>563</v>
      </c>
      <c r="N1010" s="2" t="s">
        <v>566</v>
      </c>
      <c r="O1010" s="2" t="s">
        <v>568</v>
      </c>
      <c r="P1010" s="2" t="s">
        <v>573</v>
      </c>
      <c r="Q1010" s="1" t="s">
        <v>718</v>
      </c>
      <c r="R1010" s="2" t="s">
        <v>585</v>
      </c>
      <c r="S1010" s="8">
        <f>B1010+2</f>
        <v>40890</v>
      </c>
    </row>
    <row r="1011" spans="1:19" x14ac:dyDescent="0.15">
      <c r="A1011" s="1">
        <v>42083</v>
      </c>
      <c r="B1011" s="6">
        <f>DATE(2012,12,31)-386</f>
        <v>40888</v>
      </c>
      <c r="C1011" s="2" t="s">
        <v>917</v>
      </c>
      <c r="D1011" s="1">
        <v>33</v>
      </c>
      <c r="E1011" s="1">
        <v>68.42</v>
      </c>
      <c r="F1011" s="1">
        <v>0.05</v>
      </c>
      <c r="G1011" s="2" t="s">
        <v>560</v>
      </c>
      <c r="H1011" s="10">
        <v>-57.97</v>
      </c>
      <c r="I1011" s="7">
        <v>2.08</v>
      </c>
      <c r="J1011" s="7">
        <v>2.56</v>
      </c>
      <c r="K1011" s="2" t="s">
        <v>629</v>
      </c>
      <c r="L1011" s="16" t="s">
        <v>920</v>
      </c>
      <c r="M1011" s="4" t="s">
        <v>563</v>
      </c>
      <c r="N1011" s="2" t="s">
        <v>566</v>
      </c>
      <c r="O1011" s="2" t="s">
        <v>568</v>
      </c>
      <c r="P1011" s="2" t="s">
        <v>89</v>
      </c>
      <c r="Q1011" s="1" t="s">
        <v>297</v>
      </c>
      <c r="R1011" s="2" t="s">
        <v>587</v>
      </c>
      <c r="S1011" s="8">
        <f>B1011+0</f>
        <v>40888</v>
      </c>
    </row>
    <row r="1012" spans="1:19" x14ac:dyDescent="0.15">
      <c r="A1012" s="1">
        <v>42151</v>
      </c>
      <c r="B1012" s="6">
        <f>DATE(2012,12,31)-747</f>
        <v>40527</v>
      </c>
      <c r="C1012" s="2" t="s">
        <v>913</v>
      </c>
      <c r="D1012" s="1">
        <v>35</v>
      </c>
      <c r="E1012" s="1">
        <v>4408.6695</v>
      </c>
      <c r="F1012" s="1">
        <v>0.05</v>
      </c>
      <c r="G1012" s="2" t="s">
        <v>560</v>
      </c>
      <c r="H1012" s="10">
        <v>1140.6690000000001</v>
      </c>
      <c r="I1012" s="7">
        <v>155.99</v>
      </c>
      <c r="J1012" s="7">
        <v>3.9</v>
      </c>
      <c r="K1012" s="2" t="s">
        <v>797</v>
      </c>
      <c r="L1012" s="16" t="s">
        <v>920</v>
      </c>
      <c r="M1012" s="4" t="s">
        <v>563</v>
      </c>
      <c r="N1012" s="2" t="s">
        <v>566</v>
      </c>
      <c r="O1012" s="2" t="s">
        <v>569</v>
      </c>
      <c r="P1012" s="2" t="s">
        <v>87</v>
      </c>
      <c r="Q1012" s="1" t="s">
        <v>684</v>
      </c>
      <c r="R1012" s="2" t="s">
        <v>585</v>
      </c>
      <c r="S1012" s="8">
        <f>B1012+3</f>
        <v>40530</v>
      </c>
    </row>
    <row r="1013" spans="1:19" x14ac:dyDescent="0.15">
      <c r="A1013" s="1">
        <v>42658</v>
      </c>
      <c r="B1013" s="6">
        <f>DATE(2012,12,31)-930</f>
        <v>40344</v>
      </c>
      <c r="C1013" s="2" t="s">
        <v>914</v>
      </c>
      <c r="D1013" s="1">
        <v>29</v>
      </c>
      <c r="E1013" s="1">
        <v>146.68</v>
      </c>
      <c r="F1013" s="1">
        <v>0.08</v>
      </c>
      <c r="G1013" s="2" t="s">
        <v>560</v>
      </c>
      <c r="H1013" s="10">
        <v>-8.3260000000000005</v>
      </c>
      <c r="I1013" s="7">
        <v>5.28</v>
      </c>
      <c r="J1013" s="7">
        <v>2.99</v>
      </c>
      <c r="K1013" s="2" t="s">
        <v>880</v>
      </c>
      <c r="L1013" s="16" t="s">
        <v>920</v>
      </c>
      <c r="M1013" s="4" t="s">
        <v>563</v>
      </c>
      <c r="N1013" s="2" t="s">
        <v>564</v>
      </c>
      <c r="O1013" s="2" t="s">
        <v>568</v>
      </c>
      <c r="P1013" s="2" t="s">
        <v>88</v>
      </c>
      <c r="Q1013" s="1" t="s">
        <v>17</v>
      </c>
      <c r="R1013" s="2" t="s">
        <v>585</v>
      </c>
      <c r="S1013" s="8">
        <f>B1013+0</f>
        <v>40344</v>
      </c>
    </row>
    <row r="1014" spans="1:19" x14ac:dyDescent="0.15">
      <c r="A1014" s="1">
        <v>43911</v>
      </c>
      <c r="B1014" s="6">
        <f>DATE(2012,12,31)-1447</f>
        <v>39827</v>
      </c>
      <c r="C1014" s="2" t="s">
        <v>914</v>
      </c>
      <c r="D1014" s="1">
        <v>29</v>
      </c>
      <c r="E1014" s="1">
        <v>577.89</v>
      </c>
      <c r="F1014" s="1">
        <v>0.06</v>
      </c>
      <c r="G1014" s="2" t="s">
        <v>560</v>
      </c>
      <c r="H1014" s="10">
        <v>-53.89</v>
      </c>
      <c r="I1014" s="7">
        <v>19.989999999999998</v>
      </c>
      <c r="J1014" s="7">
        <v>11.17</v>
      </c>
      <c r="K1014" s="2" t="s">
        <v>823</v>
      </c>
      <c r="L1014" s="16" t="s">
        <v>920</v>
      </c>
      <c r="M1014" s="4" t="s">
        <v>563</v>
      </c>
      <c r="N1014" s="2" t="s">
        <v>567</v>
      </c>
      <c r="O1014" s="2" t="s">
        <v>570</v>
      </c>
      <c r="P1014" s="2" t="s">
        <v>579</v>
      </c>
      <c r="Q1014" s="1" t="s">
        <v>498</v>
      </c>
      <c r="R1014" s="2" t="s">
        <v>590</v>
      </c>
      <c r="S1014" s="8">
        <f>B1014+0</f>
        <v>39827</v>
      </c>
    </row>
    <row r="1015" spans="1:19" x14ac:dyDescent="0.15">
      <c r="A1015" s="1">
        <v>43911</v>
      </c>
      <c r="B1015" s="6">
        <f>DATE(2012,12,31)-1447</f>
        <v>39827</v>
      </c>
      <c r="C1015" s="2" t="s">
        <v>914</v>
      </c>
      <c r="D1015" s="1">
        <v>36</v>
      </c>
      <c r="E1015" s="1">
        <v>9920.85</v>
      </c>
      <c r="F1015" s="1">
        <v>0</v>
      </c>
      <c r="G1015" s="2" t="s">
        <v>562</v>
      </c>
      <c r="H1015" s="10">
        <v>2685.19</v>
      </c>
      <c r="I1015" s="7">
        <v>264.98</v>
      </c>
      <c r="J1015" s="7">
        <v>17.86</v>
      </c>
      <c r="K1015" s="2" t="s">
        <v>823</v>
      </c>
      <c r="L1015" s="16" t="s">
        <v>920</v>
      </c>
      <c r="M1015" s="4" t="s">
        <v>563</v>
      </c>
      <c r="N1015" s="2" t="s">
        <v>567</v>
      </c>
      <c r="O1015" s="2" t="s">
        <v>569</v>
      </c>
      <c r="P1015" s="2" t="s">
        <v>583</v>
      </c>
      <c r="Q1015" s="1" t="s">
        <v>623</v>
      </c>
      <c r="R1015" s="2" t="s">
        <v>586</v>
      </c>
      <c r="S1015" s="8">
        <f>B1015+1</f>
        <v>39828</v>
      </c>
    </row>
    <row r="1016" spans="1:19" x14ac:dyDescent="0.15">
      <c r="A1016" s="1">
        <v>43911</v>
      </c>
      <c r="B1016" s="6">
        <f>DATE(2012,12,31)-1447</f>
        <v>39827</v>
      </c>
      <c r="C1016" s="2" t="s">
        <v>914</v>
      </c>
      <c r="D1016" s="1">
        <v>23</v>
      </c>
      <c r="E1016" s="1">
        <v>7484.31</v>
      </c>
      <c r="F1016" s="1">
        <v>0.06</v>
      </c>
      <c r="G1016" s="2" t="s">
        <v>562</v>
      </c>
      <c r="H1016" s="10">
        <v>1278.45</v>
      </c>
      <c r="I1016" s="7">
        <v>320.98</v>
      </c>
      <c r="J1016" s="7">
        <v>58.95</v>
      </c>
      <c r="K1016" s="2" t="s">
        <v>823</v>
      </c>
      <c r="L1016" s="16" t="s">
        <v>920</v>
      </c>
      <c r="M1016" s="4" t="s">
        <v>563</v>
      </c>
      <c r="N1016" s="2" t="s">
        <v>567</v>
      </c>
      <c r="O1016" s="2" t="s">
        <v>570</v>
      </c>
      <c r="P1016" s="2" t="s">
        <v>574</v>
      </c>
      <c r="Q1016" s="1" t="s">
        <v>40</v>
      </c>
      <c r="R1016" s="2" t="s">
        <v>586</v>
      </c>
      <c r="S1016" s="8">
        <f>B1016+2</f>
        <v>39829</v>
      </c>
    </row>
    <row r="1017" spans="1:19" x14ac:dyDescent="0.15">
      <c r="A1017" s="1">
        <v>44005</v>
      </c>
      <c r="B1017" s="6">
        <f>DATE(2012,12,31)-850</f>
        <v>40424</v>
      </c>
      <c r="C1017" s="2" t="s">
        <v>914</v>
      </c>
      <c r="D1017" s="1">
        <v>7</v>
      </c>
      <c r="E1017" s="1">
        <v>733.36</v>
      </c>
      <c r="F1017" s="1">
        <v>0.02</v>
      </c>
      <c r="G1017" s="2" t="s">
        <v>560</v>
      </c>
      <c r="H1017" s="10">
        <v>-270.48</v>
      </c>
      <c r="I1017" s="7">
        <v>99.99</v>
      </c>
      <c r="J1017" s="7">
        <v>19.989999999999998</v>
      </c>
      <c r="K1017" s="2" t="s">
        <v>840</v>
      </c>
      <c r="L1017" s="16" t="s">
        <v>920</v>
      </c>
      <c r="M1017" s="4" t="s">
        <v>563</v>
      </c>
      <c r="N1017" s="2" t="s">
        <v>567</v>
      </c>
      <c r="O1017" s="2" t="s">
        <v>569</v>
      </c>
      <c r="P1017" s="2" t="s">
        <v>572</v>
      </c>
      <c r="Q1017" s="1" t="s">
        <v>347</v>
      </c>
      <c r="R1017" s="2" t="s">
        <v>585</v>
      </c>
      <c r="S1017" s="8">
        <f>B1017+1</f>
        <v>40425</v>
      </c>
    </row>
    <row r="1018" spans="1:19" x14ac:dyDescent="0.15">
      <c r="A1018" s="1">
        <v>44486</v>
      </c>
      <c r="B1018" s="6">
        <f>DATE(2012,12,31)-175</f>
        <v>41099</v>
      </c>
      <c r="C1018" s="2" t="s">
        <v>917</v>
      </c>
      <c r="D1018" s="1">
        <v>36</v>
      </c>
      <c r="E1018" s="1">
        <v>198.1</v>
      </c>
      <c r="F1018" s="1">
        <v>0.09</v>
      </c>
      <c r="G1018" s="2" t="s">
        <v>560</v>
      </c>
      <c r="H1018" s="10">
        <v>-66.930000000000007</v>
      </c>
      <c r="I1018" s="7">
        <v>5.78</v>
      </c>
      <c r="J1018" s="7">
        <v>4.96</v>
      </c>
      <c r="K1018" s="2" t="s">
        <v>822</v>
      </c>
      <c r="L1018" s="16" t="s">
        <v>920</v>
      </c>
      <c r="M1018" s="4" t="s">
        <v>563</v>
      </c>
      <c r="N1018" s="2" t="s">
        <v>565</v>
      </c>
      <c r="O1018" s="2" t="s">
        <v>568</v>
      </c>
      <c r="P1018" s="2" t="s">
        <v>573</v>
      </c>
      <c r="Q1018" s="1" t="s">
        <v>485</v>
      </c>
      <c r="R1018" s="2" t="s">
        <v>585</v>
      </c>
      <c r="S1018" s="8">
        <f>B1018+3</f>
        <v>41102</v>
      </c>
    </row>
    <row r="1019" spans="1:19" x14ac:dyDescent="0.15">
      <c r="A1019" s="1">
        <v>45284</v>
      </c>
      <c r="B1019" s="6">
        <f>DATE(2012,12,31)-359</f>
        <v>40915</v>
      </c>
      <c r="C1019" s="2" t="s">
        <v>913</v>
      </c>
      <c r="D1019" s="1">
        <v>7</v>
      </c>
      <c r="E1019" s="1">
        <v>91.43</v>
      </c>
      <c r="F1019" s="1">
        <v>0</v>
      </c>
      <c r="G1019" s="2" t="s">
        <v>560</v>
      </c>
      <c r="H1019" s="10">
        <v>-42.98</v>
      </c>
      <c r="I1019" s="7">
        <v>11.66</v>
      </c>
      <c r="J1019" s="7">
        <v>8.99</v>
      </c>
      <c r="K1019" s="2" t="s">
        <v>889</v>
      </c>
      <c r="L1019" s="16" t="s">
        <v>920</v>
      </c>
      <c r="M1019" s="4" t="s">
        <v>563</v>
      </c>
      <c r="N1019" s="2" t="s">
        <v>566</v>
      </c>
      <c r="O1019" s="2" t="s">
        <v>568</v>
      </c>
      <c r="P1019" s="2" t="s">
        <v>571</v>
      </c>
      <c r="Q1019" s="1" t="s">
        <v>43</v>
      </c>
      <c r="R1019" s="2" t="s">
        <v>587</v>
      </c>
      <c r="S1019" s="8">
        <f>B1019+1</f>
        <v>40916</v>
      </c>
    </row>
    <row r="1020" spans="1:19" x14ac:dyDescent="0.15">
      <c r="A1020" s="1">
        <v>45668</v>
      </c>
      <c r="B1020" s="6">
        <f>DATE(2012,12,31)-750</f>
        <v>40524</v>
      </c>
      <c r="C1020" s="2" t="s">
        <v>915</v>
      </c>
      <c r="D1020" s="1">
        <v>8</v>
      </c>
      <c r="E1020" s="1">
        <v>704.77</v>
      </c>
      <c r="F1020" s="1">
        <v>0.01</v>
      </c>
      <c r="G1020" s="2" t="s">
        <v>562</v>
      </c>
      <c r="H1020" s="10">
        <v>-298.89999999999998</v>
      </c>
      <c r="I1020" s="7">
        <v>81.94</v>
      </c>
      <c r="J1020" s="7">
        <v>55.81</v>
      </c>
      <c r="K1020" s="2" t="s">
        <v>840</v>
      </c>
      <c r="L1020" s="16" t="s">
        <v>920</v>
      </c>
      <c r="M1020" s="4" t="s">
        <v>563</v>
      </c>
      <c r="N1020" s="2" t="s">
        <v>567</v>
      </c>
      <c r="O1020" s="2" t="s">
        <v>570</v>
      </c>
      <c r="P1020" s="2" t="s">
        <v>581</v>
      </c>
      <c r="Q1020" s="1" t="s">
        <v>349</v>
      </c>
      <c r="R1020" s="2" t="s">
        <v>588</v>
      </c>
      <c r="S1020" s="8">
        <f>B1020+1</f>
        <v>40525</v>
      </c>
    </row>
    <row r="1021" spans="1:19" x14ac:dyDescent="0.15">
      <c r="A1021" s="1">
        <v>46023</v>
      </c>
      <c r="B1021" s="6">
        <f>DATE(2012,12,31)-282</f>
        <v>40992</v>
      </c>
      <c r="C1021" s="2" t="s">
        <v>915</v>
      </c>
      <c r="D1021" s="1">
        <v>50</v>
      </c>
      <c r="E1021" s="1">
        <v>1101.76</v>
      </c>
      <c r="F1021" s="1">
        <v>7.0000000000000007E-2</v>
      </c>
      <c r="G1021" s="2" t="s">
        <v>560</v>
      </c>
      <c r="H1021" s="10">
        <v>-204.22</v>
      </c>
      <c r="I1021" s="7">
        <v>21.66</v>
      </c>
      <c r="J1021" s="7">
        <v>13.99</v>
      </c>
      <c r="K1021" s="2" t="s">
        <v>894</v>
      </c>
      <c r="L1021" s="16" t="s">
        <v>920</v>
      </c>
      <c r="M1021" s="4" t="s">
        <v>563</v>
      </c>
      <c r="N1021" s="2" t="s">
        <v>565</v>
      </c>
      <c r="O1021" s="2" t="s">
        <v>568</v>
      </c>
      <c r="P1021" s="2" t="s">
        <v>576</v>
      </c>
      <c r="Q1021" s="1" t="s">
        <v>675</v>
      </c>
      <c r="R1021" s="2" t="s">
        <v>589</v>
      </c>
      <c r="S1021" s="8">
        <f>B1021+1</f>
        <v>40993</v>
      </c>
    </row>
    <row r="1022" spans="1:19" x14ac:dyDescent="0.15">
      <c r="A1022" s="1">
        <v>46533</v>
      </c>
      <c r="B1022" s="6">
        <f>DATE(2012,12,31)-1181</f>
        <v>40093</v>
      </c>
      <c r="C1022" s="2" t="s">
        <v>913</v>
      </c>
      <c r="D1022" s="1">
        <v>3</v>
      </c>
      <c r="E1022" s="1">
        <v>215.24</v>
      </c>
      <c r="F1022" s="1">
        <v>0.04</v>
      </c>
      <c r="G1022" s="2" t="s">
        <v>560</v>
      </c>
      <c r="H1022" s="10">
        <v>49.76</v>
      </c>
      <c r="I1022" s="7">
        <v>55.5</v>
      </c>
      <c r="J1022" s="7">
        <v>52.2</v>
      </c>
      <c r="K1022" s="2" t="s">
        <v>882</v>
      </c>
      <c r="L1022" s="16" t="s">
        <v>920</v>
      </c>
      <c r="M1022" s="4" t="s">
        <v>563</v>
      </c>
      <c r="N1022" s="2" t="s">
        <v>565</v>
      </c>
      <c r="O1022" s="2" t="s">
        <v>570</v>
      </c>
      <c r="P1022" s="2" t="s">
        <v>579</v>
      </c>
      <c r="Q1022" s="1" t="s">
        <v>545</v>
      </c>
      <c r="R1022" s="2" t="s">
        <v>589</v>
      </c>
      <c r="S1022" s="8">
        <f>B1022+1</f>
        <v>40094</v>
      </c>
    </row>
    <row r="1023" spans="1:19" x14ac:dyDescent="0.15">
      <c r="A1023" s="1">
        <v>46533</v>
      </c>
      <c r="B1023" s="6">
        <f>DATE(2012,12,31)-1181</f>
        <v>40093</v>
      </c>
      <c r="C1023" s="2" t="s">
        <v>913</v>
      </c>
      <c r="D1023" s="1">
        <v>12</v>
      </c>
      <c r="E1023" s="1">
        <v>654.87400000000002</v>
      </c>
      <c r="F1023" s="1">
        <v>0.1</v>
      </c>
      <c r="G1023" s="2" t="s">
        <v>561</v>
      </c>
      <c r="H1023" s="10">
        <v>-82.06</v>
      </c>
      <c r="I1023" s="7">
        <v>65.989999999999995</v>
      </c>
      <c r="J1023" s="7">
        <v>3.99</v>
      </c>
      <c r="K1023" s="2" t="s">
        <v>882</v>
      </c>
      <c r="L1023" s="16" t="s">
        <v>920</v>
      </c>
      <c r="M1023" s="4" t="s">
        <v>563</v>
      </c>
      <c r="N1023" s="2" t="s">
        <v>565</v>
      </c>
      <c r="O1023" s="2" t="s">
        <v>569</v>
      </c>
      <c r="P1023" s="2" t="s">
        <v>87</v>
      </c>
      <c r="Q1023" s="1" t="s">
        <v>168</v>
      </c>
      <c r="R1023" s="2" t="s">
        <v>585</v>
      </c>
      <c r="S1023" s="8">
        <f>B1023+2</f>
        <v>40095</v>
      </c>
    </row>
    <row r="1024" spans="1:19" x14ac:dyDescent="0.15">
      <c r="A1024" s="1">
        <v>48321</v>
      </c>
      <c r="B1024" s="6">
        <f>DATE(2012,12,31)-886</f>
        <v>40388</v>
      </c>
      <c r="C1024" s="2" t="s">
        <v>913</v>
      </c>
      <c r="D1024" s="1">
        <v>31</v>
      </c>
      <c r="E1024" s="1">
        <v>5875.66</v>
      </c>
      <c r="F1024" s="1">
        <v>0.02</v>
      </c>
      <c r="G1024" s="2" t="s">
        <v>560</v>
      </c>
      <c r="H1024" s="10">
        <v>1856.12</v>
      </c>
      <c r="I1024" s="7">
        <v>178.47</v>
      </c>
      <c r="J1024" s="7">
        <v>19.989999999999998</v>
      </c>
      <c r="K1024" s="2" t="s">
        <v>797</v>
      </c>
      <c r="L1024" s="16" t="s">
        <v>920</v>
      </c>
      <c r="M1024" s="4" t="s">
        <v>563</v>
      </c>
      <c r="N1024" s="2" t="s">
        <v>566</v>
      </c>
      <c r="O1024" s="2" t="s">
        <v>568</v>
      </c>
      <c r="P1024" s="2" t="s">
        <v>577</v>
      </c>
      <c r="Q1024" s="1" t="s">
        <v>535</v>
      </c>
      <c r="R1024" s="2" t="s">
        <v>585</v>
      </c>
      <c r="S1024" s="8">
        <f>B1024+1</f>
        <v>40389</v>
      </c>
    </row>
    <row r="1025" spans="1:19" x14ac:dyDescent="0.15">
      <c r="A1025" s="1">
        <v>48673</v>
      </c>
      <c r="B1025" s="6">
        <f>DATE(2012,12,31)-249</f>
        <v>41025</v>
      </c>
      <c r="C1025" s="2" t="s">
        <v>915</v>
      </c>
      <c r="D1025" s="1">
        <v>36</v>
      </c>
      <c r="E1025" s="1">
        <v>570.14</v>
      </c>
      <c r="F1025" s="1">
        <v>0.03</v>
      </c>
      <c r="G1025" s="2" t="s">
        <v>560</v>
      </c>
      <c r="H1025" s="10">
        <v>-90.72</v>
      </c>
      <c r="I1025" s="7">
        <v>15.31</v>
      </c>
      <c r="J1025" s="7">
        <v>8.7799999999999994</v>
      </c>
      <c r="K1025" s="2" t="s">
        <v>835</v>
      </c>
      <c r="L1025" s="16" t="s">
        <v>920</v>
      </c>
      <c r="M1025" s="4" t="s">
        <v>563</v>
      </c>
      <c r="N1025" s="2" t="s">
        <v>564</v>
      </c>
      <c r="O1025" s="2" t="s">
        <v>568</v>
      </c>
      <c r="P1025" s="2" t="s">
        <v>577</v>
      </c>
      <c r="Q1025" s="1" t="s">
        <v>151</v>
      </c>
      <c r="R1025" s="2" t="s">
        <v>585</v>
      </c>
      <c r="S1025" s="8">
        <f>B1025+1</f>
        <v>41026</v>
      </c>
    </row>
    <row r="1026" spans="1:19" x14ac:dyDescent="0.15">
      <c r="A1026" s="1">
        <v>48742</v>
      </c>
      <c r="B1026" s="6">
        <f>DATE(2012,12,31)-258</f>
        <v>41016</v>
      </c>
      <c r="C1026" s="2" t="s">
        <v>915</v>
      </c>
      <c r="D1026" s="1">
        <v>42</v>
      </c>
      <c r="E1026" s="1">
        <v>825.63</v>
      </c>
      <c r="F1026" s="1">
        <v>0.03</v>
      </c>
      <c r="G1026" s="2" t="s">
        <v>560</v>
      </c>
      <c r="H1026" s="10">
        <v>379.73750000000001</v>
      </c>
      <c r="I1026" s="7">
        <v>18.940000000000001</v>
      </c>
      <c r="J1026" s="7">
        <v>1.49</v>
      </c>
      <c r="K1026" s="2" t="s">
        <v>889</v>
      </c>
      <c r="L1026" s="16" t="s">
        <v>920</v>
      </c>
      <c r="M1026" s="4" t="s">
        <v>563</v>
      </c>
      <c r="N1026" s="2" t="s">
        <v>566</v>
      </c>
      <c r="O1026" s="2" t="s">
        <v>568</v>
      </c>
      <c r="P1026" s="2" t="s">
        <v>88</v>
      </c>
      <c r="Q1026" s="1" t="s">
        <v>322</v>
      </c>
      <c r="R1026" s="2" t="s">
        <v>585</v>
      </c>
      <c r="S1026" s="8">
        <f>B1026+2</f>
        <v>41018</v>
      </c>
    </row>
    <row r="1027" spans="1:19" x14ac:dyDescent="0.15">
      <c r="A1027" s="1">
        <v>48998</v>
      </c>
      <c r="B1027" s="6">
        <f>DATE(2012,12,31)-1414</f>
        <v>39860</v>
      </c>
      <c r="C1027" s="2" t="s">
        <v>916</v>
      </c>
      <c r="D1027" s="1">
        <v>15</v>
      </c>
      <c r="E1027" s="1">
        <v>180.39</v>
      </c>
      <c r="F1027" s="1">
        <v>0.04</v>
      </c>
      <c r="G1027" s="2" t="s">
        <v>560</v>
      </c>
      <c r="H1027" s="10">
        <v>-8.11</v>
      </c>
      <c r="I1027" s="7">
        <v>11.58</v>
      </c>
      <c r="J1027" s="7">
        <v>6.97</v>
      </c>
      <c r="K1027" s="2" t="s">
        <v>313</v>
      </c>
      <c r="L1027" s="16" t="s">
        <v>920</v>
      </c>
      <c r="M1027" s="4" t="s">
        <v>563</v>
      </c>
      <c r="N1027" s="2" t="s">
        <v>564</v>
      </c>
      <c r="O1027" s="2" t="s">
        <v>568</v>
      </c>
      <c r="P1027" s="2" t="s">
        <v>575</v>
      </c>
      <c r="Q1027" s="1" t="s">
        <v>57</v>
      </c>
      <c r="R1027" s="2" t="s">
        <v>585</v>
      </c>
      <c r="S1027" s="8">
        <f>B1027+2</f>
        <v>39862</v>
      </c>
    </row>
    <row r="1028" spans="1:19" x14ac:dyDescent="0.15">
      <c r="A1028" s="1">
        <v>50246</v>
      </c>
      <c r="B1028" s="6">
        <f>DATE(2012,12,31)-866</f>
        <v>40408</v>
      </c>
      <c r="C1028" s="2" t="s">
        <v>914</v>
      </c>
      <c r="D1028" s="1">
        <v>14</v>
      </c>
      <c r="E1028" s="1">
        <v>102.04</v>
      </c>
      <c r="F1028" s="1">
        <v>0.05</v>
      </c>
      <c r="G1028" s="2" t="s">
        <v>561</v>
      </c>
      <c r="H1028" s="10">
        <v>-47.67</v>
      </c>
      <c r="I1028" s="7">
        <v>6.48</v>
      </c>
      <c r="J1028" s="7">
        <v>7.37</v>
      </c>
      <c r="K1028" s="2" t="s">
        <v>883</v>
      </c>
      <c r="L1028" s="16" t="s">
        <v>920</v>
      </c>
      <c r="M1028" s="4" t="s">
        <v>563</v>
      </c>
      <c r="N1028" s="2" t="s">
        <v>567</v>
      </c>
      <c r="O1028" s="2" t="s">
        <v>568</v>
      </c>
      <c r="P1028" s="2" t="s">
        <v>573</v>
      </c>
      <c r="Q1028" s="1" t="s">
        <v>692</v>
      </c>
      <c r="R1028" s="2" t="s">
        <v>585</v>
      </c>
      <c r="S1028" s="8">
        <f>B1028+1</f>
        <v>40409</v>
      </c>
    </row>
    <row r="1029" spans="1:19" x14ac:dyDescent="0.15">
      <c r="A1029" s="1">
        <v>51200</v>
      </c>
      <c r="B1029" s="6">
        <f>DATE(2012,12,31)-409</f>
        <v>40865</v>
      </c>
      <c r="C1029" s="2" t="s">
        <v>914</v>
      </c>
      <c r="D1029" s="1">
        <v>29</v>
      </c>
      <c r="E1029" s="1">
        <v>1617.88</v>
      </c>
      <c r="F1029" s="1">
        <v>0</v>
      </c>
      <c r="G1029" s="2" t="s">
        <v>560</v>
      </c>
      <c r="H1029" s="10">
        <v>271.89999999999998</v>
      </c>
      <c r="I1029" s="7">
        <v>53.98</v>
      </c>
      <c r="J1029" s="7">
        <v>5.5</v>
      </c>
      <c r="K1029" s="2" t="s">
        <v>822</v>
      </c>
      <c r="L1029" s="16" t="s">
        <v>920</v>
      </c>
      <c r="M1029" s="4" t="s">
        <v>563</v>
      </c>
      <c r="N1029" s="2" t="s">
        <v>565</v>
      </c>
      <c r="O1029" s="2" t="s">
        <v>569</v>
      </c>
      <c r="P1029" s="2" t="s">
        <v>572</v>
      </c>
      <c r="Q1029" s="1" t="s">
        <v>153</v>
      </c>
      <c r="R1029" s="2" t="s">
        <v>585</v>
      </c>
      <c r="S1029" s="8">
        <f>B1029+3</f>
        <v>40868</v>
      </c>
    </row>
    <row r="1030" spans="1:19" x14ac:dyDescent="0.15">
      <c r="A1030" s="1">
        <v>51271</v>
      </c>
      <c r="B1030" s="6">
        <f>DATE(2012,12,31)-798</f>
        <v>40476</v>
      </c>
      <c r="C1030" s="2" t="s">
        <v>913</v>
      </c>
      <c r="D1030" s="1">
        <v>31</v>
      </c>
      <c r="E1030" s="1">
        <v>3969.43</v>
      </c>
      <c r="F1030" s="1">
        <v>0.1</v>
      </c>
      <c r="G1030" s="2" t="s">
        <v>562</v>
      </c>
      <c r="H1030" s="10">
        <v>-796.51</v>
      </c>
      <c r="I1030" s="7">
        <v>140.97999999999999</v>
      </c>
      <c r="J1030" s="7">
        <v>36.090000000000003</v>
      </c>
      <c r="K1030" s="2" t="s">
        <v>797</v>
      </c>
      <c r="L1030" s="16" t="s">
        <v>920</v>
      </c>
      <c r="M1030" s="4" t="s">
        <v>563</v>
      </c>
      <c r="N1030" s="2" t="s">
        <v>566</v>
      </c>
      <c r="O1030" s="2" t="s">
        <v>570</v>
      </c>
      <c r="P1030" s="2" t="s">
        <v>581</v>
      </c>
      <c r="Q1030" s="1" t="s">
        <v>166</v>
      </c>
      <c r="R1030" s="2" t="s">
        <v>588</v>
      </c>
      <c r="S1030" s="8">
        <f>B1030+2</f>
        <v>40478</v>
      </c>
    </row>
    <row r="1031" spans="1:19" x14ac:dyDescent="0.15">
      <c r="A1031" s="1">
        <v>51271</v>
      </c>
      <c r="B1031" s="6">
        <f>DATE(2012,12,31)-798</f>
        <v>40476</v>
      </c>
      <c r="C1031" s="2" t="s">
        <v>913</v>
      </c>
      <c r="D1031" s="1">
        <v>16</v>
      </c>
      <c r="E1031" s="1">
        <v>2882.7069999999999</v>
      </c>
      <c r="F1031" s="1">
        <v>0.02</v>
      </c>
      <c r="G1031" s="2" t="s">
        <v>560</v>
      </c>
      <c r="H1031" s="10">
        <v>303.22800000000001</v>
      </c>
      <c r="I1031" s="7">
        <v>205.99</v>
      </c>
      <c r="J1031" s="7">
        <v>5</v>
      </c>
      <c r="K1031" s="2" t="s">
        <v>797</v>
      </c>
      <c r="L1031" s="16" t="s">
        <v>920</v>
      </c>
      <c r="M1031" s="4" t="s">
        <v>563</v>
      </c>
      <c r="N1031" s="2" t="s">
        <v>566</v>
      </c>
      <c r="O1031" s="2" t="s">
        <v>569</v>
      </c>
      <c r="P1031" s="2" t="s">
        <v>87</v>
      </c>
      <c r="Q1031" s="1" t="s">
        <v>180</v>
      </c>
      <c r="R1031" s="2" t="s">
        <v>585</v>
      </c>
      <c r="S1031" s="8">
        <f>B1031+2</f>
        <v>40478</v>
      </c>
    </row>
    <row r="1032" spans="1:19" x14ac:dyDescent="0.15">
      <c r="A1032" s="1">
        <v>51297</v>
      </c>
      <c r="B1032" s="6">
        <f>DATE(2012,12,31)-50</f>
        <v>41224</v>
      </c>
      <c r="C1032" s="2" t="s">
        <v>916</v>
      </c>
      <c r="D1032" s="1">
        <v>41</v>
      </c>
      <c r="E1032" s="1">
        <v>356.28</v>
      </c>
      <c r="F1032" s="1">
        <v>7.0000000000000007E-2</v>
      </c>
      <c r="G1032" s="2" t="s">
        <v>561</v>
      </c>
      <c r="H1032" s="10">
        <v>65.756</v>
      </c>
      <c r="I1032" s="7">
        <v>8.69</v>
      </c>
      <c r="J1032" s="7">
        <v>2.99</v>
      </c>
      <c r="K1032" s="2" t="s">
        <v>822</v>
      </c>
      <c r="L1032" s="16" t="s">
        <v>920</v>
      </c>
      <c r="M1032" s="4" t="s">
        <v>563</v>
      </c>
      <c r="N1032" s="2" t="s">
        <v>565</v>
      </c>
      <c r="O1032" s="2" t="s">
        <v>568</v>
      </c>
      <c r="P1032" s="2" t="s">
        <v>88</v>
      </c>
      <c r="Q1032" s="1" t="s">
        <v>552</v>
      </c>
      <c r="R1032" s="2" t="s">
        <v>585</v>
      </c>
      <c r="S1032" s="8">
        <f>B1032+9</f>
        <v>41233</v>
      </c>
    </row>
    <row r="1033" spans="1:19" x14ac:dyDescent="0.15">
      <c r="A1033" s="1">
        <v>51842</v>
      </c>
      <c r="B1033" s="6">
        <f>DATE(2012,12,31)-399</f>
        <v>40875</v>
      </c>
      <c r="C1033" s="2" t="s">
        <v>916</v>
      </c>
      <c r="D1033" s="1">
        <v>1</v>
      </c>
      <c r="E1033" s="1">
        <v>54.22</v>
      </c>
      <c r="F1033" s="1">
        <v>0.02</v>
      </c>
      <c r="G1033" s="2" t="s">
        <v>560</v>
      </c>
      <c r="H1033" s="10">
        <v>-19.09</v>
      </c>
      <c r="I1033" s="7">
        <v>48.91</v>
      </c>
      <c r="J1033" s="7">
        <v>5.81</v>
      </c>
      <c r="K1033" s="2" t="s">
        <v>823</v>
      </c>
      <c r="L1033" s="16" t="s">
        <v>920</v>
      </c>
      <c r="M1033" s="4" t="s">
        <v>563</v>
      </c>
      <c r="N1033" s="2" t="s">
        <v>567</v>
      </c>
      <c r="O1033" s="2" t="s">
        <v>568</v>
      </c>
      <c r="P1033" s="2" t="s">
        <v>573</v>
      </c>
      <c r="Q1033" s="1" t="s">
        <v>368</v>
      </c>
      <c r="R1033" s="2" t="s">
        <v>585</v>
      </c>
      <c r="S1033" s="8">
        <f>B1033+5</f>
        <v>40880</v>
      </c>
    </row>
    <row r="1034" spans="1:19" x14ac:dyDescent="0.15">
      <c r="A1034" s="1">
        <v>51842</v>
      </c>
      <c r="B1034" s="6">
        <f>DATE(2012,12,31)-399</f>
        <v>40875</v>
      </c>
      <c r="C1034" s="2" t="s">
        <v>916</v>
      </c>
      <c r="D1034" s="1">
        <v>4</v>
      </c>
      <c r="E1034" s="1">
        <v>431.11</v>
      </c>
      <c r="F1034" s="1">
        <v>7.0000000000000007E-2</v>
      </c>
      <c r="G1034" s="2" t="s">
        <v>560</v>
      </c>
      <c r="H1034" s="10">
        <v>-244.33</v>
      </c>
      <c r="I1034" s="7">
        <v>101.41</v>
      </c>
      <c r="J1034" s="7">
        <v>35</v>
      </c>
      <c r="K1034" s="2" t="s">
        <v>823</v>
      </c>
      <c r="L1034" s="16" t="s">
        <v>920</v>
      </c>
      <c r="M1034" s="4" t="s">
        <v>563</v>
      </c>
      <c r="N1034" s="2" t="s">
        <v>567</v>
      </c>
      <c r="O1034" s="2" t="s">
        <v>568</v>
      </c>
      <c r="P1034" s="2" t="s">
        <v>577</v>
      </c>
      <c r="Q1034" s="1" t="s">
        <v>208</v>
      </c>
      <c r="R1034" s="2" t="s">
        <v>590</v>
      </c>
      <c r="S1034" s="8">
        <f>B1034+4</f>
        <v>40879</v>
      </c>
    </row>
    <row r="1035" spans="1:19" x14ac:dyDescent="0.15">
      <c r="A1035" s="1">
        <v>51968</v>
      </c>
      <c r="B1035" s="6">
        <f>DATE(2012,12,31)-1213</f>
        <v>40061</v>
      </c>
      <c r="C1035" s="2" t="s">
        <v>914</v>
      </c>
      <c r="D1035" s="1">
        <v>43</v>
      </c>
      <c r="E1035" s="1">
        <v>3231.5639999999999</v>
      </c>
      <c r="F1035" s="1">
        <v>0.03</v>
      </c>
      <c r="G1035" s="2" t="s">
        <v>560</v>
      </c>
      <c r="H1035" s="10">
        <v>1166.0940000000001</v>
      </c>
      <c r="I1035" s="7">
        <v>85.99</v>
      </c>
      <c r="J1035" s="7">
        <v>0.99</v>
      </c>
      <c r="K1035" s="2" t="s">
        <v>313</v>
      </c>
      <c r="L1035" s="16" t="s">
        <v>920</v>
      </c>
      <c r="M1035" s="4" t="s">
        <v>563</v>
      </c>
      <c r="N1035" s="2" t="s">
        <v>564</v>
      </c>
      <c r="O1035" s="2" t="s">
        <v>569</v>
      </c>
      <c r="P1035" s="2" t="s">
        <v>87</v>
      </c>
      <c r="Q1035" s="1" t="s">
        <v>474</v>
      </c>
      <c r="R1035" s="2" t="s">
        <v>584</v>
      </c>
      <c r="S1035" s="8">
        <f>B1035+1</f>
        <v>40062</v>
      </c>
    </row>
    <row r="1036" spans="1:19" x14ac:dyDescent="0.15">
      <c r="A1036" s="1">
        <v>52578</v>
      </c>
      <c r="B1036" s="6">
        <f>DATE(2012,12,31)-665</f>
        <v>40609</v>
      </c>
      <c r="C1036" s="2" t="s">
        <v>917</v>
      </c>
      <c r="D1036" s="1">
        <v>38</v>
      </c>
      <c r="E1036" s="1">
        <v>6230.68</v>
      </c>
      <c r="F1036" s="1">
        <v>0.09</v>
      </c>
      <c r="G1036" s="2" t="s">
        <v>562</v>
      </c>
      <c r="H1036" s="10">
        <v>835.46</v>
      </c>
      <c r="I1036" s="7">
        <v>217.85</v>
      </c>
      <c r="J1036" s="7">
        <v>29.1</v>
      </c>
      <c r="K1036" s="2" t="s">
        <v>781</v>
      </c>
      <c r="L1036" s="16" t="s">
        <v>920</v>
      </c>
      <c r="M1036" s="4" t="s">
        <v>563</v>
      </c>
      <c r="N1036" s="2" t="s">
        <v>566</v>
      </c>
      <c r="O1036" s="2" t="s">
        <v>570</v>
      </c>
      <c r="P1036" s="2" t="s">
        <v>578</v>
      </c>
      <c r="Q1036" s="1" t="s">
        <v>343</v>
      </c>
      <c r="R1036" s="2" t="s">
        <v>588</v>
      </c>
      <c r="S1036" s="8">
        <f>B1036+2</f>
        <v>40611</v>
      </c>
    </row>
    <row r="1037" spans="1:19" x14ac:dyDescent="0.15">
      <c r="A1037" s="1">
        <v>52578</v>
      </c>
      <c r="B1037" s="6">
        <f>DATE(2012,12,31)-665</f>
        <v>40609</v>
      </c>
      <c r="C1037" s="2" t="s">
        <v>917</v>
      </c>
      <c r="D1037" s="1">
        <v>8</v>
      </c>
      <c r="E1037" s="1">
        <v>1391.816</v>
      </c>
      <c r="F1037" s="1">
        <v>0.05</v>
      </c>
      <c r="G1037" s="2" t="s">
        <v>560</v>
      </c>
      <c r="H1037" s="10">
        <v>-344.82</v>
      </c>
      <c r="I1037" s="7">
        <v>209.37</v>
      </c>
      <c r="J1037" s="7">
        <v>69</v>
      </c>
      <c r="K1037" s="2" t="s">
        <v>781</v>
      </c>
      <c r="L1037" s="16" t="s">
        <v>920</v>
      </c>
      <c r="M1037" s="4" t="s">
        <v>563</v>
      </c>
      <c r="N1037" s="2" t="s">
        <v>566</v>
      </c>
      <c r="O1037" s="2" t="s">
        <v>570</v>
      </c>
      <c r="P1037" s="2" t="s">
        <v>578</v>
      </c>
      <c r="Q1037" s="1" t="s">
        <v>116</v>
      </c>
      <c r="R1037" s="2" t="s">
        <v>590</v>
      </c>
      <c r="S1037" s="8">
        <f>B1037+3</f>
        <v>40612</v>
      </c>
    </row>
    <row r="1038" spans="1:19" x14ac:dyDescent="0.15">
      <c r="A1038" s="1">
        <v>53027</v>
      </c>
      <c r="B1038" s="6">
        <f>DATE(2012,12,31)-797</f>
        <v>40477</v>
      </c>
      <c r="C1038" s="2" t="s">
        <v>916</v>
      </c>
      <c r="D1038" s="1">
        <v>38</v>
      </c>
      <c r="E1038" s="1">
        <v>1323.31</v>
      </c>
      <c r="F1038" s="1">
        <v>0.05</v>
      </c>
      <c r="G1038" s="2" t="s">
        <v>560</v>
      </c>
      <c r="H1038" s="10">
        <v>146.63999999999999</v>
      </c>
      <c r="I1038" s="7">
        <v>35.89</v>
      </c>
      <c r="J1038" s="7">
        <v>14.72</v>
      </c>
      <c r="K1038" s="2" t="s">
        <v>313</v>
      </c>
      <c r="L1038" s="16" t="s">
        <v>920</v>
      </c>
      <c r="M1038" s="4" t="s">
        <v>563</v>
      </c>
      <c r="N1038" s="2" t="s">
        <v>564</v>
      </c>
      <c r="O1038" s="2" t="s">
        <v>568</v>
      </c>
      <c r="P1038" s="2" t="s">
        <v>575</v>
      </c>
      <c r="Q1038" s="1" t="s">
        <v>377</v>
      </c>
      <c r="R1038" s="2" t="s">
        <v>585</v>
      </c>
      <c r="S1038" s="8">
        <f>B1038+0</f>
        <v>40477</v>
      </c>
    </row>
    <row r="1039" spans="1:19" x14ac:dyDescent="0.15">
      <c r="A1039" s="1">
        <v>54214</v>
      </c>
      <c r="B1039" s="6">
        <f>DATE(2012,12,31)-364</f>
        <v>40910</v>
      </c>
      <c r="C1039" s="2" t="s">
        <v>914</v>
      </c>
      <c r="D1039" s="1">
        <v>38</v>
      </c>
      <c r="E1039" s="1">
        <v>7325.63</v>
      </c>
      <c r="F1039" s="1">
        <v>0.04</v>
      </c>
      <c r="G1039" s="2" t="s">
        <v>561</v>
      </c>
      <c r="H1039" s="10">
        <v>1899.23</v>
      </c>
      <c r="I1039" s="7">
        <v>199.99</v>
      </c>
      <c r="J1039" s="7">
        <v>24.49</v>
      </c>
      <c r="K1039" s="2" t="s">
        <v>894</v>
      </c>
      <c r="L1039" s="16" t="s">
        <v>920</v>
      </c>
      <c r="M1039" s="4" t="s">
        <v>563</v>
      </c>
      <c r="N1039" s="2" t="s">
        <v>565</v>
      </c>
      <c r="O1039" s="2" t="s">
        <v>569</v>
      </c>
      <c r="P1039" s="2" t="s">
        <v>90</v>
      </c>
      <c r="Q1039" s="1" t="s">
        <v>453</v>
      </c>
      <c r="R1039" s="2" t="s">
        <v>590</v>
      </c>
      <c r="S1039" s="8">
        <f>B1039+3</f>
        <v>40913</v>
      </c>
    </row>
    <row r="1040" spans="1:19" x14ac:dyDescent="0.15">
      <c r="A1040" s="1">
        <v>54342</v>
      </c>
      <c r="B1040" s="6">
        <f>DATE(2012,12,31)-1302</f>
        <v>39972</v>
      </c>
      <c r="C1040" s="2" t="s">
        <v>916</v>
      </c>
      <c r="D1040" s="1">
        <v>35</v>
      </c>
      <c r="E1040" s="1">
        <v>3439.39</v>
      </c>
      <c r="F1040" s="1">
        <v>0.05</v>
      </c>
      <c r="G1040" s="2" t="s">
        <v>561</v>
      </c>
      <c r="H1040" s="10">
        <v>1057.6199999999999</v>
      </c>
      <c r="I1040" s="7">
        <v>100.97</v>
      </c>
      <c r="J1040" s="7">
        <v>7.18</v>
      </c>
      <c r="K1040" s="2" t="s">
        <v>781</v>
      </c>
      <c r="L1040" s="16" t="s">
        <v>920</v>
      </c>
      <c r="M1040" s="4" t="s">
        <v>563</v>
      </c>
      <c r="N1040" s="2" t="s">
        <v>566</v>
      </c>
      <c r="O1040" s="2" t="s">
        <v>569</v>
      </c>
      <c r="P1040" s="2" t="s">
        <v>572</v>
      </c>
      <c r="Q1040" s="1" t="s">
        <v>380</v>
      </c>
      <c r="R1040" s="2" t="s">
        <v>585</v>
      </c>
      <c r="S1040" s="8">
        <f>B1040+0</f>
        <v>39972</v>
      </c>
    </row>
    <row r="1041" spans="1:19" x14ac:dyDescent="0.15">
      <c r="A1041" s="1">
        <v>54342</v>
      </c>
      <c r="B1041" s="6">
        <f>DATE(2012,12,31)-1302</f>
        <v>39972</v>
      </c>
      <c r="C1041" s="2" t="s">
        <v>916</v>
      </c>
      <c r="D1041" s="1">
        <v>2</v>
      </c>
      <c r="E1041" s="1">
        <v>10.48</v>
      </c>
      <c r="F1041" s="1">
        <v>0.02</v>
      </c>
      <c r="G1041" s="2" t="s">
        <v>560</v>
      </c>
      <c r="H1041" s="10">
        <v>-5.65</v>
      </c>
      <c r="I1041" s="7">
        <v>4.84</v>
      </c>
      <c r="J1041" s="7">
        <v>0.71</v>
      </c>
      <c r="K1041" s="2" t="s">
        <v>781</v>
      </c>
      <c r="L1041" s="16" t="s">
        <v>920</v>
      </c>
      <c r="M1041" s="4" t="s">
        <v>563</v>
      </c>
      <c r="N1041" s="2" t="s">
        <v>566</v>
      </c>
      <c r="O1041" s="2" t="s">
        <v>568</v>
      </c>
      <c r="P1041" s="2" t="s">
        <v>571</v>
      </c>
      <c r="Q1041" s="1" t="s">
        <v>374</v>
      </c>
      <c r="R1041" s="2" t="s">
        <v>584</v>
      </c>
      <c r="S1041" s="8">
        <f>B1041+0</f>
        <v>39972</v>
      </c>
    </row>
    <row r="1042" spans="1:19" x14ac:dyDescent="0.15">
      <c r="A1042" s="1">
        <v>54656</v>
      </c>
      <c r="B1042" s="6">
        <f>DATE(2012,12,31)-42</f>
        <v>41232</v>
      </c>
      <c r="C1042" s="2" t="s">
        <v>913</v>
      </c>
      <c r="D1042" s="1">
        <v>22</v>
      </c>
      <c r="E1042" s="1">
        <v>109.52</v>
      </c>
      <c r="F1042" s="1">
        <v>0.09</v>
      </c>
      <c r="G1042" s="2" t="s">
        <v>561</v>
      </c>
      <c r="H1042" s="10">
        <v>-73.347000000000008</v>
      </c>
      <c r="I1042" s="7">
        <v>4.54</v>
      </c>
      <c r="J1042" s="7">
        <v>5.83</v>
      </c>
      <c r="K1042" s="2" t="s">
        <v>823</v>
      </c>
      <c r="L1042" s="16" t="s">
        <v>920</v>
      </c>
      <c r="M1042" s="4" t="s">
        <v>563</v>
      </c>
      <c r="N1042" s="2" t="s">
        <v>567</v>
      </c>
      <c r="O1042" s="2" t="s">
        <v>568</v>
      </c>
      <c r="P1042" s="2" t="s">
        <v>88</v>
      </c>
      <c r="Q1042" s="1" t="s">
        <v>499</v>
      </c>
      <c r="R1042" s="2" t="s">
        <v>585</v>
      </c>
      <c r="S1042" s="8">
        <f>B1042+2</f>
        <v>41234</v>
      </c>
    </row>
    <row r="1043" spans="1:19" x14ac:dyDescent="0.15">
      <c r="A1043" s="1">
        <v>54949</v>
      </c>
      <c r="B1043" s="6">
        <f>DATE(2012,12,31)-1239</f>
        <v>40035</v>
      </c>
      <c r="C1043" s="2" t="s">
        <v>916</v>
      </c>
      <c r="D1043" s="1">
        <v>32</v>
      </c>
      <c r="E1043" s="1">
        <v>210.94</v>
      </c>
      <c r="F1043" s="1">
        <v>0.08</v>
      </c>
      <c r="G1043" s="2" t="s">
        <v>560</v>
      </c>
      <c r="H1043" s="10">
        <v>-94.59</v>
      </c>
      <c r="I1043" s="7">
        <v>6.48</v>
      </c>
      <c r="J1043" s="7">
        <v>6.81</v>
      </c>
      <c r="K1043" s="2" t="s">
        <v>840</v>
      </c>
      <c r="L1043" s="16" t="s">
        <v>920</v>
      </c>
      <c r="M1043" s="4" t="s">
        <v>563</v>
      </c>
      <c r="N1043" s="2" t="s">
        <v>567</v>
      </c>
      <c r="O1043" s="2" t="s">
        <v>568</v>
      </c>
      <c r="P1043" s="2" t="s">
        <v>573</v>
      </c>
      <c r="Q1043" s="1" t="s">
        <v>733</v>
      </c>
      <c r="R1043" s="2" t="s">
        <v>585</v>
      </c>
      <c r="S1043" s="8">
        <f>B1043+5</f>
        <v>40040</v>
      </c>
    </row>
    <row r="1044" spans="1:19" x14ac:dyDescent="0.15">
      <c r="A1044" s="1">
        <v>54949</v>
      </c>
      <c r="B1044" s="6">
        <f>DATE(2012,12,31)-1239</f>
        <v>40035</v>
      </c>
      <c r="C1044" s="2" t="s">
        <v>916</v>
      </c>
      <c r="D1044" s="1">
        <v>7</v>
      </c>
      <c r="E1044" s="1">
        <v>192.02</v>
      </c>
      <c r="F1044" s="1">
        <v>0.09</v>
      </c>
      <c r="G1044" s="2" t="s">
        <v>562</v>
      </c>
      <c r="H1044" s="10">
        <v>-293.74</v>
      </c>
      <c r="I1044" s="7">
        <v>20.98</v>
      </c>
      <c r="J1044" s="7">
        <v>53.03</v>
      </c>
      <c r="K1044" s="2" t="s">
        <v>840</v>
      </c>
      <c r="L1044" s="16" t="s">
        <v>920</v>
      </c>
      <c r="M1044" s="4" t="s">
        <v>563</v>
      </c>
      <c r="N1044" s="2" t="s">
        <v>567</v>
      </c>
      <c r="O1044" s="2" t="s">
        <v>568</v>
      </c>
      <c r="P1044" s="2" t="s">
        <v>577</v>
      </c>
      <c r="Q1044" s="1" t="s">
        <v>55</v>
      </c>
      <c r="R1044" s="2" t="s">
        <v>586</v>
      </c>
      <c r="S1044" s="8">
        <f>B1044+7</f>
        <v>40042</v>
      </c>
    </row>
    <row r="1045" spans="1:19" x14ac:dyDescent="0.15">
      <c r="A1045" s="1">
        <v>55813</v>
      </c>
      <c r="B1045" s="6">
        <f>DATE(2012,12,31)-156</f>
        <v>41118</v>
      </c>
      <c r="C1045" s="2" t="s">
        <v>916</v>
      </c>
      <c r="D1045" s="1">
        <v>39</v>
      </c>
      <c r="E1045" s="1">
        <v>2650.77</v>
      </c>
      <c r="F1045" s="1">
        <v>0.08</v>
      </c>
      <c r="G1045" s="2" t="s">
        <v>560</v>
      </c>
      <c r="H1045" s="10">
        <v>-824.43</v>
      </c>
      <c r="I1045" s="7">
        <v>70.709999999999994</v>
      </c>
      <c r="J1045" s="7">
        <v>37.58</v>
      </c>
      <c r="K1045" s="2" t="s">
        <v>883</v>
      </c>
      <c r="L1045" s="16" t="s">
        <v>920</v>
      </c>
      <c r="M1045" s="4" t="s">
        <v>563</v>
      </c>
      <c r="N1045" s="2" t="s">
        <v>567</v>
      </c>
      <c r="O1045" s="2" t="s">
        <v>570</v>
      </c>
      <c r="P1045" s="2" t="s">
        <v>579</v>
      </c>
      <c r="Q1045" s="1" t="s">
        <v>443</v>
      </c>
      <c r="R1045" s="2" t="s">
        <v>584</v>
      </c>
      <c r="S1045" s="8">
        <f>B1045+0</f>
        <v>41118</v>
      </c>
    </row>
    <row r="1046" spans="1:19" x14ac:dyDescent="0.15">
      <c r="A1046" s="1">
        <v>56577</v>
      </c>
      <c r="B1046" s="6">
        <f>DATE(2012,12,31)-425</f>
        <v>40849</v>
      </c>
      <c r="C1046" s="2" t="s">
        <v>917</v>
      </c>
      <c r="D1046" s="1">
        <v>19</v>
      </c>
      <c r="E1046" s="1">
        <v>1134.2</v>
      </c>
      <c r="F1046" s="1">
        <v>0.08</v>
      </c>
      <c r="G1046" s="2" t="s">
        <v>562</v>
      </c>
      <c r="H1046" s="10">
        <v>-351.51</v>
      </c>
      <c r="I1046" s="7">
        <v>58.14</v>
      </c>
      <c r="J1046" s="7">
        <v>36.61</v>
      </c>
      <c r="K1046" s="2" t="s">
        <v>408</v>
      </c>
      <c r="L1046" s="16" t="s">
        <v>920</v>
      </c>
      <c r="M1046" s="4" t="s">
        <v>563</v>
      </c>
      <c r="N1046" s="2" t="s">
        <v>565</v>
      </c>
      <c r="O1046" s="2" t="s">
        <v>570</v>
      </c>
      <c r="P1046" s="2" t="s">
        <v>581</v>
      </c>
      <c r="Q1046" s="1" t="s">
        <v>381</v>
      </c>
      <c r="R1046" s="2" t="s">
        <v>588</v>
      </c>
      <c r="S1046" s="8">
        <f>B1046+2</f>
        <v>40851</v>
      </c>
    </row>
    <row r="1047" spans="1:19" x14ac:dyDescent="0.15">
      <c r="A1047" s="1">
        <v>56834</v>
      </c>
      <c r="B1047" s="6">
        <f>DATE(2012,12,31)-610</f>
        <v>40664</v>
      </c>
      <c r="C1047" s="2" t="s">
        <v>913</v>
      </c>
      <c r="D1047" s="1">
        <v>22</v>
      </c>
      <c r="E1047" s="1">
        <v>1900.47</v>
      </c>
      <c r="F1047" s="1">
        <v>0</v>
      </c>
      <c r="G1047" s="2" t="s">
        <v>562</v>
      </c>
      <c r="H1047" s="10">
        <v>202.73</v>
      </c>
      <c r="I1047" s="7">
        <v>80.97</v>
      </c>
      <c r="J1047" s="7">
        <v>30.06</v>
      </c>
      <c r="K1047" s="2" t="s">
        <v>883</v>
      </c>
      <c r="L1047" s="16" t="s">
        <v>920</v>
      </c>
      <c r="M1047" s="4" t="s">
        <v>563</v>
      </c>
      <c r="N1047" s="2" t="s">
        <v>567</v>
      </c>
      <c r="O1047" s="2" t="s">
        <v>569</v>
      </c>
      <c r="P1047" s="2" t="s">
        <v>583</v>
      </c>
      <c r="Q1047" s="1" t="s">
        <v>709</v>
      </c>
      <c r="R1047" s="2" t="s">
        <v>588</v>
      </c>
      <c r="S1047" s="8">
        <f>B1047+2</f>
        <v>40666</v>
      </c>
    </row>
    <row r="1048" spans="1:19" x14ac:dyDescent="0.15">
      <c r="A1048" s="1">
        <v>56834</v>
      </c>
      <c r="B1048" s="6">
        <f>DATE(2012,12,31)-610</f>
        <v>40664</v>
      </c>
      <c r="C1048" s="2" t="s">
        <v>913</v>
      </c>
      <c r="D1048" s="1">
        <v>33</v>
      </c>
      <c r="E1048" s="1">
        <v>205.52</v>
      </c>
      <c r="F1048" s="1">
        <v>0.09</v>
      </c>
      <c r="G1048" s="2" t="s">
        <v>560</v>
      </c>
      <c r="H1048" s="10">
        <v>-118.55</v>
      </c>
      <c r="I1048" s="7">
        <v>6.48</v>
      </c>
      <c r="J1048" s="7">
        <v>7.03</v>
      </c>
      <c r="K1048" s="2" t="s">
        <v>883</v>
      </c>
      <c r="L1048" s="16" t="s">
        <v>920</v>
      </c>
      <c r="M1048" s="4" t="s">
        <v>563</v>
      </c>
      <c r="N1048" s="2" t="s">
        <v>567</v>
      </c>
      <c r="O1048" s="2" t="s">
        <v>568</v>
      </c>
      <c r="P1048" s="2" t="s">
        <v>573</v>
      </c>
      <c r="Q1048" s="1" t="s">
        <v>365</v>
      </c>
      <c r="R1048" s="2" t="s">
        <v>585</v>
      </c>
      <c r="S1048" s="8">
        <f>B1048+1</f>
        <v>40665</v>
      </c>
    </row>
    <row r="1049" spans="1:19" x14ac:dyDescent="0.15">
      <c r="A1049" s="1">
        <v>57380</v>
      </c>
      <c r="B1049" s="6">
        <f>DATE(2012,12,31)-438</f>
        <v>40836</v>
      </c>
      <c r="C1049" s="2" t="s">
        <v>916</v>
      </c>
      <c r="D1049" s="1">
        <v>3</v>
      </c>
      <c r="E1049" s="1">
        <v>545.88</v>
      </c>
      <c r="F1049" s="1">
        <v>0.05</v>
      </c>
      <c r="G1049" s="2" t="s">
        <v>562</v>
      </c>
      <c r="H1049" s="10">
        <v>-95.04</v>
      </c>
      <c r="I1049" s="7">
        <v>212.6</v>
      </c>
      <c r="J1049" s="7">
        <v>52.2</v>
      </c>
      <c r="K1049" s="2" t="s">
        <v>781</v>
      </c>
      <c r="L1049" s="16" t="s">
        <v>920</v>
      </c>
      <c r="M1049" s="4" t="s">
        <v>563</v>
      </c>
      <c r="N1049" s="2" t="s">
        <v>566</v>
      </c>
      <c r="O1049" s="2" t="s">
        <v>570</v>
      </c>
      <c r="P1049" s="2" t="s">
        <v>578</v>
      </c>
      <c r="Q1049" s="1" t="s">
        <v>389</v>
      </c>
      <c r="R1049" s="2" t="s">
        <v>588</v>
      </c>
      <c r="S1049" s="8">
        <f>B1049+4</f>
        <v>40840</v>
      </c>
    </row>
    <row r="1050" spans="1:19" x14ac:dyDescent="0.15">
      <c r="A1050" s="1">
        <v>58722</v>
      </c>
      <c r="B1050" s="6">
        <f>DATE(2012,12,31)-81</f>
        <v>41193</v>
      </c>
      <c r="C1050" s="2" t="s">
        <v>917</v>
      </c>
      <c r="D1050" s="1">
        <v>45</v>
      </c>
      <c r="E1050" s="1">
        <v>4042.96</v>
      </c>
      <c r="F1050" s="1">
        <v>0.05</v>
      </c>
      <c r="G1050" s="2" t="s">
        <v>562</v>
      </c>
      <c r="H1050" s="10">
        <v>-699.72</v>
      </c>
      <c r="I1050" s="7">
        <v>89.99</v>
      </c>
      <c r="J1050" s="7">
        <v>42</v>
      </c>
      <c r="K1050" s="2" t="s">
        <v>822</v>
      </c>
      <c r="L1050" s="16" t="s">
        <v>920</v>
      </c>
      <c r="M1050" s="4" t="s">
        <v>563</v>
      </c>
      <c r="N1050" s="2" t="s">
        <v>565</v>
      </c>
      <c r="O1050" s="2" t="s">
        <v>570</v>
      </c>
      <c r="P1050" s="2" t="s">
        <v>574</v>
      </c>
      <c r="Q1050" s="1" t="s">
        <v>94</v>
      </c>
      <c r="R1050" s="2" t="s">
        <v>586</v>
      </c>
      <c r="S1050" s="8">
        <f>B1050+2</f>
        <v>41195</v>
      </c>
    </row>
    <row r="1051" spans="1:19" x14ac:dyDescent="0.15">
      <c r="A1051" s="1">
        <v>58981</v>
      </c>
      <c r="B1051" s="6">
        <f>DATE(2012,12,31)-700</f>
        <v>40574</v>
      </c>
      <c r="C1051" s="2" t="s">
        <v>913</v>
      </c>
      <c r="D1051" s="1">
        <v>28</v>
      </c>
      <c r="E1051" s="1">
        <v>1262.75</v>
      </c>
      <c r="F1051" s="1">
        <v>7.0000000000000007E-2</v>
      </c>
      <c r="G1051" s="2" t="s">
        <v>560</v>
      </c>
      <c r="H1051" s="10">
        <v>422.23</v>
      </c>
      <c r="I1051" s="7">
        <v>46.89</v>
      </c>
      <c r="J1051" s="7">
        <v>5.0999999999999996</v>
      </c>
      <c r="K1051" s="2" t="s">
        <v>823</v>
      </c>
      <c r="L1051" s="16" t="s">
        <v>920</v>
      </c>
      <c r="M1051" s="4" t="s">
        <v>563</v>
      </c>
      <c r="N1051" s="2" t="s">
        <v>567</v>
      </c>
      <c r="O1051" s="2" t="s">
        <v>568</v>
      </c>
      <c r="P1051" s="2" t="s">
        <v>576</v>
      </c>
      <c r="Q1051" s="1" t="s">
        <v>72</v>
      </c>
      <c r="R1051" s="2" t="s">
        <v>589</v>
      </c>
      <c r="S1051" s="8">
        <f>B1051+2</f>
        <v>40576</v>
      </c>
    </row>
    <row r="1052" spans="1:19" x14ac:dyDescent="0.15">
      <c r="A1052" s="1">
        <v>59686</v>
      </c>
      <c r="B1052" s="6">
        <f>DATE(2012,12,31)-664</f>
        <v>40610</v>
      </c>
      <c r="C1052" s="2" t="s">
        <v>916</v>
      </c>
      <c r="D1052" s="1">
        <v>41</v>
      </c>
      <c r="E1052" s="1">
        <v>243.37</v>
      </c>
      <c r="F1052" s="1">
        <v>0.01</v>
      </c>
      <c r="G1052" s="2" t="s">
        <v>560</v>
      </c>
      <c r="H1052" s="10">
        <v>-106.42100000000001</v>
      </c>
      <c r="I1052" s="7">
        <v>5.8</v>
      </c>
      <c r="J1052" s="7">
        <v>5.59</v>
      </c>
      <c r="K1052" s="2" t="s">
        <v>840</v>
      </c>
      <c r="L1052" s="16" t="s">
        <v>920</v>
      </c>
      <c r="M1052" s="4" t="s">
        <v>563</v>
      </c>
      <c r="N1052" s="2" t="s">
        <v>567</v>
      </c>
      <c r="O1052" s="2" t="s">
        <v>568</v>
      </c>
      <c r="P1052" s="2" t="s">
        <v>88</v>
      </c>
      <c r="Q1052" s="1" t="s">
        <v>74</v>
      </c>
      <c r="R1052" s="2" t="s">
        <v>585</v>
      </c>
      <c r="S1052" s="8">
        <f>B1052+5</f>
        <v>40615</v>
      </c>
    </row>
    <row r="1053" spans="1:19" x14ac:dyDescent="0.15">
      <c r="A1053" s="1">
        <v>6791</v>
      </c>
      <c r="B1053" s="6">
        <f>DATE(2012,12,31)-699</f>
        <v>40575</v>
      </c>
      <c r="C1053" s="2" t="s">
        <v>914</v>
      </c>
      <c r="D1053" s="1">
        <v>14</v>
      </c>
      <c r="E1053" s="1">
        <v>730.33</v>
      </c>
      <c r="F1053" s="1">
        <v>0.1</v>
      </c>
      <c r="G1053" s="2" t="s">
        <v>561</v>
      </c>
      <c r="H1053" s="10">
        <v>110.77</v>
      </c>
      <c r="I1053" s="7">
        <v>51.98</v>
      </c>
      <c r="J1053" s="7">
        <v>10.17</v>
      </c>
      <c r="K1053" s="2" t="s">
        <v>836</v>
      </c>
      <c r="L1053" s="16" t="s">
        <v>920</v>
      </c>
      <c r="M1053" s="4" t="s">
        <v>563</v>
      </c>
      <c r="N1053" s="2" t="s">
        <v>565</v>
      </c>
      <c r="O1053" s="2" t="s">
        <v>569</v>
      </c>
      <c r="P1053" s="2" t="s">
        <v>583</v>
      </c>
      <c r="Q1053" s="1" t="s">
        <v>476</v>
      </c>
      <c r="R1053" s="2" t="s">
        <v>589</v>
      </c>
      <c r="S1053" s="8">
        <f>B1053+2</f>
        <v>40577</v>
      </c>
    </row>
    <row r="1054" spans="1:19" x14ac:dyDescent="0.15">
      <c r="A1054" s="1">
        <v>9895</v>
      </c>
      <c r="B1054" s="6">
        <f>DATE(2012,12,31)-986</f>
        <v>40288</v>
      </c>
      <c r="C1054" s="2" t="s">
        <v>916</v>
      </c>
      <c r="D1054" s="1">
        <v>9</v>
      </c>
      <c r="E1054" s="1">
        <v>54.79</v>
      </c>
      <c r="F1054" s="1">
        <v>0.05</v>
      </c>
      <c r="G1054" s="2" t="s">
        <v>560</v>
      </c>
      <c r="H1054" s="10">
        <v>-6.82</v>
      </c>
      <c r="I1054" s="7">
        <v>5.85</v>
      </c>
      <c r="J1054" s="7">
        <v>2.27</v>
      </c>
      <c r="K1054" s="2" t="s">
        <v>855</v>
      </c>
      <c r="L1054" s="16" t="s">
        <v>920</v>
      </c>
      <c r="M1054" s="4" t="s">
        <v>563</v>
      </c>
      <c r="N1054" s="2" t="s">
        <v>565</v>
      </c>
      <c r="O1054" s="2" t="s">
        <v>568</v>
      </c>
      <c r="P1054" s="2" t="s">
        <v>571</v>
      </c>
      <c r="Q1054" s="1" t="s">
        <v>475</v>
      </c>
      <c r="R1054" s="2" t="s">
        <v>584</v>
      </c>
      <c r="S1054" s="8">
        <f>B1054+4</f>
        <v>40292</v>
      </c>
    </row>
    <row r="1055" spans="1:19" x14ac:dyDescent="0.15">
      <c r="A1055" s="1">
        <v>11846</v>
      </c>
      <c r="B1055" s="6">
        <f>DATE(2012,12,31)-986</f>
        <v>40288</v>
      </c>
      <c r="C1055" s="2" t="s">
        <v>916</v>
      </c>
      <c r="D1055" s="1">
        <v>49</v>
      </c>
      <c r="E1055" s="1">
        <v>7319.85</v>
      </c>
      <c r="F1055" s="1">
        <v>0.03</v>
      </c>
      <c r="G1055" s="2" t="s">
        <v>560</v>
      </c>
      <c r="H1055" s="10">
        <v>611.42999999999995</v>
      </c>
      <c r="I1055" s="7">
        <v>152.47999999999999</v>
      </c>
      <c r="J1055" s="7">
        <v>4</v>
      </c>
      <c r="K1055" s="2" t="s">
        <v>759</v>
      </c>
      <c r="L1055" s="16" t="s">
        <v>920</v>
      </c>
      <c r="M1055" s="4" t="s">
        <v>563</v>
      </c>
      <c r="N1055" s="2" t="s">
        <v>567</v>
      </c>
      <c r="O1055" s="2" t="s">
        <v>569</v>
      </c>
      <c r="P1055" s="2" t="s">
        <v>572</v>
      </c>
      <c r="Q1055" s="1" t="s">
        <v>63</v>
      </c>
      <c r="R1055" s="2" t="s">
        <v>585</v>
      </c>
      <c r="S1055" s="8">
        <f>B1055+4</f>
        <v>40292</v>
      </c>
    </row>
    <row r="1056" spans="1:19" x14ac:dyDescent="0.15">
      <c r="A1056" s="1">
        <v>11846</v>
      </c>
      <c r="B1056" s="6">
        <f>DATE(2012,12,31)-986</f>
        <v>40288</v>
      </c>
      <c r="C1056" s="2" t="s">
        <v>916</v>
      </c>
      <c r="D1056" s="1">
        <v>28</v>
      </c>
      <c r="E1056" s="1">
        <v>707.44</v>
      </c>
      <c r="F1056" s="1">
        <v>0.01</v>
      </c>
      <c r="G1056" s="2" t="s">
        <v>561</v>
      </c>
      <c r="H1056" s="10">
        <v>-50.27</v>
      </c>
      <c r="I1056" s="7">
        <v>24.98</v>
      </c>
      <c r="J1056" s="7">
        <v>8.7899999999999991</v>
      </c>
      <c r="K1056" s="2" t="s">
        <v>759</v>
      </c>
      <c r="L1056" s="16" t="s">
        <v>920</v>
      </c>
      <c r="M1056" s="4" t="s">
        <v>563</v>
      </c>
      <c r="N1056" s="2" t="s">
        <v>567</v>
      </c>
      <c r="O1056" s="2" t="s">
        <v>568</v>
      </c>
      <c r="P1056" s="2" t="s">
        <v>577</v>
      </c>
      <c r="Q1056" s="1" t="s">
        <v>737</v>
      </c>
      <c r="R1056" s="2" t="s">
        <v>585</v>
      </c>
      <c r="S1056" s="8">
        <f>B1056+7</f>
        <v>40295</v>
      </c>
    </row>
    <row r="1057" spans="1:19" x14ac:dyDescent="0.15">
      <c r="A1057" s="1">
        <v>12450</v>
      </c>
      <c r="B1057" s="6">
        <f>DATE(2012,12,31)-1390</f>
        <v>39884</v>
      </c>
      <c r="C1057" s="2" t="s">
        <v>915</v>
      </c>
      <c r="D1057" s="1">
        <v>15</v>
      </c>
      <c r="E1057" s="1">
        <v>1146.4100000000001</v>
      </c>
      <c r="F1057" s="1">
        <v>0</v>
      </c>
      <c r="G1057" s="2" t="s">
        <v>560</v>
      </c>
      <c r="H1057" s="10">
        <v>-88.61</v>
      </c>
      <c r="I1057" s="7">
        <v>73.98</v>
      </c>
      <c r="J1057" s="7">
        <v>14.52</v>
      </c>
      <c r="K1057" s="2" t="s">
        <v>836</v>
      </c>
      <c r="L1057" s="16" t="s">
        <v>920</v>
      </c>
      <c r="M1057" s="4" t="s">
        <v>563</v>
      </c>
      <c r="N1057" s="2" t="s">
        <v>565</v>
      </c>
      <c r="O1057" s="2" t="s">
        <v>569</v>
      </c>
      <c r="P1057" s="2" t="s">
        <v>572</v>
      </c>
      <c r="Q1057" s="1" t="s">
        <v>705</v>
      </c>
      <c r="R1057" s="2" t="s">
        <v>585</v>
      </c>
      <c r="S1057" s="8">
        <f>B1057+2</f>
        <v>39886</v>
      </c>
    </row>
    <row r="1058" spans="1:19" x14ac:dyDescent="0.15">
      <c r="A1058" s="1">
        <v>16518</v>
      </c>
      <c r="B1058" s="6">
        <f>DATE(2012,12,31)-93</f>
        <v>41181</v>
      </c>
      <c r="C1058" s="2" t="s">
        <v>917</v>
      </c>
      <c r="D1058" s="1">
        <v>4</v>
      </c>
      <c r="E1058" s="1">
        <v>80.290000000000006</v>
      </c>
      <c r="F1058" s="1">
        <v>0.03</v>
      </c>
      <c r="G1058" s="2" t="s">
        <v>560</v>
      </c>
      <c r="H1058" s="10">
        <v>-6.57</v>
      </c>
      <c r="I1058" s="7">
        <v>18.97</v>
      </c>
      <c r="J1058" s="7">
        <v>5.21</v>
      </c>
      <c r="K1058" s="2" t="s">
        <v>759</v>
      </c>
      <c r="L1058" s="16" t="s">
        <v>920</v>
      </c>
      <c r="M1058" s="4" t="s">
        <v>563</v>
      </c>
      <c r="N1058" s="2" t="s">
        <v>567</v>
      </c>
      <c r="O1058" s="2" t="s">
        <v>568</v>
      </c>
      <c r="P1058" s="2" t="s">
        <v>573</v>
      </c>
      <c r="Q1058" s="1" t="s">
        <v>270</v>
      </c>
      <c r="R1058" s="2" t="s">
        <v>585</v>
      </c>
      <c r="S1058" s="8">
        <f>B1058+1</f>
        <v>41182</v>
      </c>
    </row>
    <row r="1059" spans="1:19" x14ac:dyDescent="0.15">
      <c r="A1059" s="1">
        <v>16518</v>
      </c>
      <c r="B1059" s="6">
        <f>DATE(2012,12,31)-93</f>
        <v>41181</v>
      </c>
      <c r="C1059" s="2" t="s">
        <v>917</v>
      </c>
      <c r="D1059" s="1">
        <v>36</v>
      </c>
      <c r="E1059" s="1">
        <v>2628.9224999999997</v>
      </c>
      <c r="F1059" s="1">
        <v>0.03</v>
      </c>
      <c r="G1059" s="2" t="s">
        <v>560</v>
      </c>
      <c r="H1059" s="10">
        <v>832.19399999999996</v>
      </c>
      <c r="I1059" s="7">
        <v>85.99</v>
      </c>
      <c r="J1059" s="7">
        <v>0.99</v>
      </c>
      <c r="K1059" s="2" t="s">
        <v>759</v>
      </c>
      <c r="L1059" s="16" t="s">
        <v>920</v>
      </c>
      <c r="M1059" s="4" t="s">
        <v>563</v>
      </c>
      <c r="N1059" s="2" t="s">
        <v>567</v>
      </c>
      <c r="O1059" s="2" t="s">
        <v>569</v>
      </c>
      <c r="P1059" s="2" t="s">
        <v>87</v>
      </c>
      <c r="Q1059" s="1" t="s">
        <v>474</v>
      </c>
      <c r="R1059" s="2" t="s">
        <v>584</v>
      </c>
      <c r="S1059" s="8">
        <f>B1059+3</f>
        <v>41184</v>
      </c>
    </row>
    <row r="1060" spans="1:19" x14ac:dyDescent="0.15">
      <c r="A1060" s="1">
        <v>17860</v>
      </c>
      <c r="B1060" s="6">
        <f>DATE(2012,12,31)-635</f>
        <v>40639</v>
      </c>
      <c r="C1060" s="2" t="s">
        <v>917</v>
      </c>
      <c r="D1060" s="1">
        <v>16</v>
      </c>
      <c r="E1060" s="1">
        <v>139</v>
      </c>
      <c r="F1060" s="1">
        <v>0.05</v>
      </c>
      <c r="G1060" s="2" t="s">
        <v>561</v>
      </c>
      <c r="H1060" s="10">
        <v>-96.33</v>
      </c>
      <c r="I1060" s="7">
        <v>7.77</v>
      </c>
      <c r="J1060" s="7">
        <v>9.23</v>
      </c>
      <c r="K1060" s="2" t="s">
        <v>855</v>
      </c>
      <c r="L1060" s="16" t="s">
        <v>920</v>
      </c>
      <c r="M1060" s="4" t="s">
        <v>563</v>
      </c>
      <c r="N1060" s="2" t="s">
        <v>565</v>
      </c>
      <c r="O1060" s="2" t="s">
        <v>568</v>
      </c>
      <c r="P1060" s="2" t="s">
        <v>576</v>
      </c>
      <c r="Q1060" s="1" t="s">
        <v>283</v>
      </c>
      <c r="R1060" s="2" t="s">
        <v>585</v>
      </c>
      <c r="S1060" s="8">
        <f>B1060+2</f>
        <v>40641</v>
      </c>
    </row>
    <row r="1061" spans="1:19" x14ac:dyDescent="0.15">
      <c r="A1061" s="1">
        <v>17952</v>
      </c>
      <c r="B1061" s="6">
        <f>DATE(2012,12,31)-812</f>
        <v>40462</v>
      </c>
      <c r="C1061" s="2" t="s">
        <v>914</v>
      </c>
      <c r="D1061" s="1">
        <v>28</v>
      </c>
      <c r="E1061" s="1">
        <v>430.13</v>
      </c>
      <c r="F1061" s="1">
        <v>0.02</v>
      </c>
      <c r="G1061" s="2" t="s">
        <v>560</v>
      </c>
      <c r="H1061" s="10">
        <v>2.33</v>
      </c>
      <c r="I1061" s="7">
        <v>14.42</v>
      </c>
      <c r="J1061" s="7">
        <v>6.75</v>
      </c>
      <c r="K1061" s="2" t="s">
        <v>759</v>
      </c>
      <c r="L1061" s="16" t="s">
        <v>920</v>
      </c>
      <c r="M1061" s="4" t="s">
        <v>563</v>
      </c>
      <c r="N1061" s="2" t="s">
        <v>565</v>
      </c>
      <c r="O1061" s="2" t="s">
        <v>568</v>
      </c>
      <c r="P1061" s="2" t="s">
        <v>576</v>
      </c>
      <c r="Q1061" s="1" t="s">
        <v>450</v>
      </c>
      <c r="R1061" s="2" t="s">
        <v>589</v>
      </c>
      <c r="S1061" s="8">
        <f>B1061+1</f>
        <v>40463</v>
      </c>
    </row>
    <row r="1062" spans="1:19" x14ac:dyDescent="0.15">
      <c r="A1062" s="1">
        <v>18596</v>
      </c>
      <c r="B1062" s="6">
        <f>DATE(2012,12,31)-90</f>
        <v>41184</v>
      </c>
      <c r="C1062" s="2" t="s">
        <v>916</v>
      </c>
      <c r="D1062" s="1">
        <v>42</v>
      </c>
      <c r="E1062" s="1">
        <v>4917.6899999999996</v>
      </c>
      <c r="F1062" s="1">
        <v>0.02</v>
      </c>
      <c r="G1062" s="2" t="s">
        <v>562</v>
      </c>
      <c r="H1062" s="10">
        <v>126.31</v>
      </c>
      <c r="I1062" s="7">
        <v>110.98</v>
      </c>
      <c r="J1062" s="7">
        <v>30</v>
      </c>
      <c r="K1062" s="2" t="s">
        <v>855</v>
      </c>
      <c r="L1062" s="16" t="s">
        <v>920</v>
      </c>
      <c r="M1062" s="4" t="s">
        <v>563</v>
      </c>
      <c r="N1062" s="2" t="s">
        <v>565</v>
      </c>
      <c r="O1062" s="2" t="s">
        <v>570</v>
      </c>
      <c r="P1062" s="2" t="s">
        <v>574</v>
      </c>
      <c r="Q1062" s="1" t="s">
        <v>209</v>
      </c>
      <c r="R1062" s="2" t="s">
        <v>586</v>
      </c>
      <c r="S1062" s="8">
        <f>B1062+2</f>
        <v>41186</v>
      </c>
    </row>
    <row r="1063" spans="1:19" x14ac:dyDescent="0.15">
      <c r="A1063" s="1">
        <v>18596</v>
      </c>
      <c r="B1063" s="6">
        <f>DATE(2012,12,31)-90</f>
        <v>41184</v>
      </c>
      <c r="C1063" s="2" t="s">
        <v>916</v>
      </c>
      <c r="D1063" s="1">
        <v>32</v>
      </c>
      <c r="E1063" s="1">
        <v>416.8</v>
      </c>
      <c r="F1063" s="1">
        <v>0.01</v>
      </c>
      <c r="G1063" s="2" t="s">
        <v>560</v>
      </c>
      <c r="H1063" s="10">
        <v>223.38</v>
      </c>
      <c r="I1063" s="7">
        <v>12.53</v>
      </c>
      <c r="J1063" s="7">
        <v>0.5</v>
      </c>
      <c r="K1063" s="2" t="s">
        <v>855</v>
      </c>
      <c r="L1063" s="16" t="s">
        <v>920</v>
      </c>
      <c r="M1063" s="4" t="s">
        <v>563</v>
      </c>
      <c r="N1063" s="2" t="s">
        <v>565</v>
      </c>
      <c r="O1063" s="2" t="s">
        <v>568</v>
      </c>
      <c r="P1063" s="2" t="s">
        <v>582</v>
      </c>
      <c r="Q1063" s="1" t="s">
        <v>227</v>
      </c>
      <c r="R1063" s="2" t="s">
        <v>585</v>
      </c>
      <c r="S1063" s="8">
        <f>B1063+2</f>
        <v>41186</v>
      </c>
    </row>
    <row r="1064" spans="1:19" x14ac:dyDescent="0.15">
      <c r="A1064" s="1">
        <v>21410</v>
      </c>
      <c r="B1064" s="6">
        <f>DATE(2012,12,31)-244</f>
        <v>41030</v>
      </c>
      <c r="C1064" s="2" t="s">
        <v>917</v>
      </c>
      <c r="D1064" s="1">
        <v>16</v>
      </c>
      <c r="E1064" s="1">
        <v>2101.59</v>
      </c>
      <c r="F1064" s="1">
        <v>0.01</v>
      </c>
      <c r="G1064" s="2" t="s">
        <v>561</v>
      </c>
      <c r="H1064" s="10">
        <v>554.91</v>
      </c>
      <c r="I1064" s="7">
        <v>123.38</v>
      </c>
      <c r="J1064" s="7">
        <v>24.49</v>
      </c>
      <c r="K1064" s="2" t="s">
        <v>836</v>
      </c>
      <c r="L1064" s="16" t="s">
        <v>920</v>
      </c>
      <c r="M1064" s="4" t="s">
        <v>563</v>
      </c>
      <c r="N1064" s="2" t="s">
        <v>567</v>
      </c>
      <c r="O1064" s="2" t="s">
        <v>568</v>
      </c>
      <c r="P1064" s="2" t="s">
        <v>576</v>
      </c>
      <c r="Q1064" s="1" t="s">
        <v>463</v>
      </c>
      <c r="R1064" s="2" t="s">
        <v>590</v>
      </c>
      <c r="S1064" s="8">
        <f>B1064+2</f>
        <v>41032</v>
      </c>
    </row>
    <row r="1065" spans="1:19" x14ac:dyDescent="0.15">
      <c r="A1065" s="1">
        <v>22563</v>
      </c>
      <c r="B1065" s="6">
        <f>DATE(2012,12,31)-225</f>
        <v>41049</v>
      </c>
      <c r="C1065" s="2" t="s">
        <v>917</v>
      </c>
      <c r="D1065" s="1">
        <v>32</v>
      </c>
      <c r="E1065" s="1">
        <v>251.51</v>
      </c>
      <c r="F1065" s="1">
        <v>0.06</v>
      </c>
      <c r="G1065" s="2" t="s">
        <v>560</v>
      </c>
      <c r="H1065" s="10">
        <v>-9.7799999999999994</v>
      </c>
      <c r="I1065" s="7">
        <v>7.7</v>
      </c>
      <c r="J1065" s="7">
        <v>3.68</v>
      </c>
      <c r="K1065" s="2" t="s">
        <v>872</v>
      </c>
      <c r="L1065" s="16" t="s">
        <v>920</v>
      </c>
      <c r="M1065" s="4" t="s">
        <v>563</v>
      </c>
      <c r="N1065" s="2" t="s">
        <v>564</v>
      </c>
      <c r="O1065" s="2" t="s">
        <v>570</v>
      </c>
      <c r="P1065" s="2" t="s">
        <v>579</v>
      </c>
      <c r="Q1065" s="1" t="s">
        <v>744</v>
      </c>
      <c r="R1065" s="2" t="s">
        <v>584</v>
      </c>
      <c r="S1065" s="8">
        <f>B1065+3</f>
        <v>41052</v>
      </c>
    </row>
    <row r="1066" spans="1:19" x14ac:dyDescent="0.15">
      <c r="A1066" s="1">
        <v>25318</v>
      </c>
      <c r="B1066" s="6">
        <f>DATE(2012,12,31)-408</f>
        <v>40866</v>
      </c>
      <c r="C1066" s="2" t="s">
        <v>917</v>
      </c>
      <c r="D1066" s="1">
        <v>1</v>
      </c>
      <c r="E1066" s="1">
        <v>3.2</v>
      </c>
      <c r="F1066" s="1">
        <v>0.09</v>
      </c>
      <c r="G1066" s="2" t="s">
        <v>560</v>
      </c>
      <c r="H1066" s="10">
        <v>-3.1625000000000001</v>
      </c>
      <c r="I1066" s="7">
        <v>1.88</v>
      </c>
      <c r="J1066" s="7">
        <v>1.49</v>
      </c>
      <c r="K1066" s="2" t="s">
        <v>759</v>
      </c>
      <c r="L1066" s="16" t="s">
        <v>920</v>
      </c>
      <c r="M1066" s="4" t="s">
        <v>563</v>
      </c>
      <c r="N1066" s="2" t="s">
        <v>565</v>
      </c>
      <c r="O1066" s="2" t="s">
        <v>568</v>
      </c>
      <c r="P1066" s="2" t="s">
        <v>88</v>
      </c>
      <c r="Q1066" s="1" t="s">
        <v>479</v>
      </c>
      <c r="R1066" s="2" t="s">
        <v>585</v>
      </c>
      <c r="S1066" s="8">
        <f>B1066+2</f>
        <v>40868</v>
      </c>
    </row>
    <row r="1067" spans="1:19" x14ac:dyDescent="0.15">
      <c r="A1067" s="1">
        <v>26688</v>
      </c>
      <c r="B1067" s="6">
        <f>DATE(2012,12,31)-866</f>
        <v>40408</v>
      </c>
      <c r="C1067" s="2" t="s">
        <v>914</v>
      </c>
      <c r="D1067" s="1">
        <v>21</v>
      </c>
      <c r="E1067" s="1">
        <v>424.13</v>
      </c>
      <c r="F1067" s="1">
        <v>0.06</v>
      </c>
      <c r="G1067" s="2" t="s">
        <v>560</v>
      </c>
      <c r="H1067" s="10">
        <v>57.17</v>
      </c>
      <c r="I1067" s="7">
        <v>20.27</v>
      </c>
      <c r="J1067" s="7">
        <v>3.99</v>
      </c>
      <c r="K1067" s="2" t="s">
        <v>872</v>
      </c>
      <c r="L1067" s="16" t="s">
        <v>920</v>
      </c>
      <c r="M1067" s="4" t="s">
        <v>563</v>
      </c>
      <c r="N1067" s="2" t="s">
        <v>564</v>
      </c>
      <c r="O1067" s="2" t="s">
        <v>568</v>
      </c>
      <c r="P1067" s="2" t="s">
        <v>576</v>
      </c>
      <c r="Q1067" s="1" t="s">
        <v>519</v>
      </c>
      <c r="R1067" s="2" t="s">
        <v>585</v>
      </c>
      <c r="S1067" s="8">
        <f>B1067+2</f>
        <v>40410</v>
      </c>
    </row>
    <row r="1068" spans="1:19" x14ac:dyDescent="0.15">
      <c r="A1068" s="1">
        <v>26688</v>
      </c>
      <c r="B1068" s="6">
        <f>DATE(2012,12,31)-866</f>
        <v>40408</v>
      </c>
      <c r="C1068" s="2" t="s">
        <v>914</v>
      </c>
      <c r="D1068" s="1">
        <v>7</v>
      </c>
      <c r="E1068" s="1">
        <v>69.400000000000006</v>
      </c>
      <c r="F1068" s="1">
        <v>0.09</v>
      </c>
      <c r="G1068" s="2" t="s">
        <v>560</v>
      </c>
      <c r="H1068" s="10">
        <v>12.02</v>
      </c>
      <c r="I1068" s="7">
        <v>9.93</v>
      </c>
      <c r="J1068" s="7">
        <v>1.0900000000000001</v>
      </c>
      <c r="K1068" s="2" t="s">
        <v>872</v>
      </c>
      <c r="L1068" s="16" t="s">
        <v>920</v>
      </c>
      <c r="M1068" s="4" t="s">
        <v>563</v>
      </c>
      <c r="N1068" s="2" t="s">
        <v>564</v>
      </c>
      <c r="O1068" s="2" t="s">
        <v>568</v>
      </c>
      <c r="P1068" s="2" t="s">
        <v>571</v>
      </c>
      <c r="Q1068" s="1" t="s">
        <v>229</v>
      </c>
      <c r="R1068" s="2" t="s">
        <v>584</v>
      </c>
      <c r="S1068" s="8">
        <f>B1068+1</f>
        <v>40409</v>
      </c>
    </row>
    <row r="1069" spans="1:19" x14ac:dyDescent="0.15">
      <c r="A1069" s="1">
        <v>26881</v>
      </c>
      <c r="B1069" s="6">
        <f>DATE(2012,12,31)-1248</f>
        <v>40026</v>
      </c>
      <c r="C1069" s="2" t="s">
        <v>916</v>
      </c>
      <c r="D1069" s="1">
        <v>26</v>
      </c>
      <c r="E1069" s="1">
        <v>10692.97</v>
      </c>
      <c r="F1069" s="1">
        <v>0.05</v>
      </c>
      <c r="G1069" s="2" t="s">
        <v>562</v>
      </c>
      <c r="H1069" s="10">
        <v>-410.39</v>
      </c>
      <c r="I1069" s="7">
        <v>424.21</v>
      </c>
      <c r="J1069" s="7">
        <v>110.2</v>
      </c>
      <c r="K1069" s="2" t="s">
        <v>759</v>
      </c>
      <c r="L1069" s="16" t="s">
        <v>920</v>
      </c>
      <c r="M1069" s="4" t="s">
        <v>563</v>
      </c>
      <c r="N1069" s="2" t="s">
        <v>565</v>
      </c>
      <c r="O1069" s="2" t="s">
        <v>570</v>
      </c>
      <c r="P1069" s="2" t="s">
        <v>578</v>
      </c>
      <c r="Q1069" s="1" t="s">
        <v>472</v>
      </c>
      <c r="R1069" s="2" t="s">
        <v>588</v>
      </c>
      <c r="S1069" s="8">
        <f>B1069+4</f>
        <v>40030</v>
      </c>
    </row>
    <row r="1070" spans="1:19" x14ac:dyDescent="0.15">
      <c r="A1070" s="1">
        <v>26887</v>
      </c>
      <c r="B1070" s="6">
        <f>DATE(2012,12,31)-596</f>
        <v>40678</v>
      </c>
      <c r="C1070" s="2" t="s">
        <v>917</v>
      </c>
      <c r="D1070" s="1">
        <v>38</v>
      </c>
      <c r="E1070" s="1">
        <v>1637.78</v>
      </c>
      <c r="F1070" s="1">
        <v>0.08</v>
      </c>
      <c r="G1070" s="2" t="s">
        <v>561</v>
      </c>
      <c r="H1070" s="10">
        <v>461.65</v>
      </c>
      <c r="I1070" s="7">
        <v>42.98</v>
      </c>
      <c r="J1070" s="7">
        <v>4.62</v>
      </c>
      <c r="K1070" s="2" t="s">
        <v>855</v>
      </c>
      <c r="L1070" s="16" t="s">
        <v>920</v>
      </c>
      <c r="M1070" s="4" t="s">
        <v>563</v>
      </c>
      <c r="N1070" s="2" t="s">
        <v>565</v>
      </c>
      <c r="O1070" s="2" t="s">
        <v>568</v>
      </c>
      <c r="P1070" s="2" t="s">
        <v>576</v>
      </c>
      <c r="Q1070" s="1" t="s">
        <v>548</v>
      </c>
      <c r="R1070" s="2" t="s">
        <v>585</v>
      </c>
      <c r="S1070" s="8">
        <f>B1070+1</f>
        <v>40679</v>
      </c>
    </row>
    <row r="1071" spans="1:19" x14ac:dyDescent="0.15">
      <c r="A1071" s="1">
        <v>26887</v>
      </c>
      <c r="B1071" s="6">
        <f>DATE(2012,12,31)-596</f>
        <v>40678</v>
      </c>
      <c r="C1071" s="2" t="s">
        <v>917</v>
      </c>
      <c r="D1071" s="1">
        <v>23</v>
      </c>
      <c r="E1071" s="1">
        <v>193.84</v>
      </c>
      <c r="F1071" s="1">
        <v>7.0000000000000007E-2</v>
      </c>
      <c r="G1071" s="2" t="s">
        <v>561</v>
      </c>
      <c r="H1071" s="10">
        <v>-117.1045</v>
      </c>
      <c r="I1071" s="7">
        <v>8.0399999999999991</v>
      </c>
      <c r="J1071" s="7">
        <v>8.94</v>
      </c>
      <c r="K1071" s="2" t="s">
        <v>855</v>
      </c>
      <c r="L1071" s="16" t="s">
        <v>920</v>
      </c>
      <c r="M1071" s="4" t="s">
        <v>563</v>
      </c>
      <c r="N1071" s="2" t="s">
        <v>565</v>
      </c>
      <c r="O1071" s="2" t="s">
        <v>568</v>
      </c>
      <c r="P1071" s="2" t="s">
        <v>88</v>
      </c>
      <c r="Q1071" s="1" t="s">
        <v>591</v>
      </c>
      <c r="R1071" s="2" t="s">
        <v>585</v>
      </c>
      <c r="S1071" s="8">
        <f>B1071+0</f>
        <v>40678</v>
      </c>
    </row>
    <row r="1072" spans="1:19" x14ac:dyDescent="0.15">
      <c r="A1072" s="1">
        <v>29761</v>
      </c>
      <c r="B1072" s="6">
        <f>DATE(2012,12,31)-181</f>
        <v>41093</v>
      </c>
      <c r="C1072" s="2" t="s">
        <v>914</v>
      </c>
      <c r="D1072" s="1">
        <v>48</v>
      </c>
      <c r="E1072" s="1">
        <v>1463.105</v>
      </c>
      <c r="F1072" s="1">
        <v>0.06</v>
      </c>
      <c r="G1072" s="2" t="s">
        <v>560</v>
      </c>
      <c r="H1072" s="10">
        <v>446.99400000000003</v>
      </c>
      <c r="I1072" s="7">
        <v>35.99</v>
      </c>
      <c r="J1072" s="7">
        <v>1.25</v>
      </c>
      <c r="K1072" s="2" t="s">
        <v>759</v>
      </c>
      <c r="L1072" s="16" t="s">
        <v>920</v>
      </c>
      <c r="M1072" s="4" t="s">
        <v>563</v>
      </c>
      <c r="N1072" s="2" t="s">
        <v>567</v>
      </c>
      <c r="O1072" s="2" t="s">
        <v>569</v>
      </c>
      <c r="P1072" s="2" t="s">
        <v>87</v>
      </c>
      <c r="Q1072" s="1" t="s">
        <v>531</v>
      </c>
      <c r="R1072" s="2" t="s">
        <v>587</v>
      </c>
      <c r="S1072" s="8">
        <f>B1072+1</f>
        <v>41094</v>
      </c>
    </row>
    <row r="1073" spans="1:19" x14ac:dyDescent="0.15">
      <c r="A1073" s="1">
        <v>29761</v>
      </c>
      <c r="B1073" s="6">
        <f>DATE(2012,12,31)-181</f>
        <v>41093</v>
      </c>
      <c r="C1073" s="2" t="s">
        <v>914</v>
      </c>
      <c r="D1073" s="1">
        <v>42</v>
      </c>
      <c r="E1073" s="1">
        <v>1085.4000000000001</v>
      </c>
      <c r="F1073" s="1">
        <v>0.02</v>
      </c>
      <c r="G1073" s="2" t="s">
        <v>560</v>
      </c>
      <c r="H1073" s="10">
        <v>262.32</v>
      </c>
      <c r="I1073" s="7">
        <v>25.98</v>
      </c>
      <c r="J1073" s="7">
        <v>5.37</v>
      </c>
      <c r="K1073" s="2" t="s">
        <v>759</v>
      </c>
      <c r="L1073" s="16" t="s">
        <v>920</v>
      </c>
      <c r="M1073" s="4" t="s">
        <v>563</v>
      </c>
      <c r="N1073" s="2" t="s">
        <v>567</v>
      </c>
      <c r="O1073" s="2" t="s">
        <v>568</v>
      </c>
      <c r="P1073" s="2" t="s">
        <v>576</v>
      </c>
      <c r="Q1073" s="1" t="s">
        <v>36</v>
      </c>
      <c r="R1073" s="2" t="s">
        <v>589</v>
      </c>
      <c r="S1073" s="8">
        <f>B1073+3</f>
        <v>41096</v>
      </c>
    </row>
    <row r="1074" spans="1:19" x14ac:dyDescent="0.15">
      <c r="A1074" s="1">
        <v>29761</v>
      </c>
      <c r="B1074" s="6">
        <f>DATE(2012,12,31)-181</f>
        <v>41093</v>
      </c>
      <c r="C1074" s="2" t="s">
        <v>914</v>
      </c>
      <c r="D1074" s="1">
        <v>19</v>
      </c>
      <c r="E1074" s="1">
        <v>123.67</v>
      </c>
      <c r="F1074" s="1">
        <v>0.03</v>
      </c>
      <c r="G1074" s="2" t="s">
        <v>560</v>
      </c>
      <c r="H1074" s="10">
        <v>-34.17</v>
      </c>
      <c r="I1074" s="7">
        <v>6.24</v>
      </c>
      <c r="J1074" s="7">
        <v>5.22</v>
      </c>
      <c r="K1074" s="2" t="s">
        <v>759</v>
      </c>
      <c r="L1074" s="16" t="s">
        <v>920</v>
      </c>
      <c r="M1074" s="4" t="s">
        <v>563</v>
      </c>
      <c r="N1074" s="2" t="s">
        <v>567</v>
      </c>
      <c r="O1074" s="2" t="s">
        <v>570</v>
      </c>
      <c r="P1074" s="2" t="s">
        <v>579</v>
      </c>
      <c r="Q1074" s="1" t="s">
        <v>165</v>
      </c>
      <c r="R1074" s="2" t="s">
        <v>585</v>
      </c>
      <c r="S1074" s="8">
        <f>B1074+2</f>
        <v>41095</v>
      </c>
    </row>
    <row r="1075" spans="1:19" x14ac:dyDescent="0.15">
      <c r="A1075" s="1">
        <v>31810</v>
      </c>
      <c r="B1075" s="6">
        <f>DATE(2012,12,31)-1320</f>
        <v>39954</v>
      </c>
      <c r="C1075" s="2" t="s">
        <v>917</v>
      </c>
      <c r="D1075" s="1">
        <v>46</v>
      </c>
      <c r="E1075" s="1">
        <v>355.55</v>
      </c>
      <c r="F1075" s="1">
        <v>0.03</v>
      </c>
      <c r="G1075" s="2" t="s">
        <v>560</v>
      </c>
      <c r="H1075" s="10">
        <v>-166.74</v>
      </c>
      <c r="I1075" s="7">
        <v>7.28</v>
      </c>
      <c r="J1075" s="7">
        <v>7.98</v>
      </c>
      <c r="K1075" s="2" t="s">
        <v>783</v>
      </c>
      <c r="L1075" s="16" t="s">
        <v>920</v>
      </c>
      <c r="M1075" s="4" t="s">
        <v>563</v>
      </c>
      <c r="N1075" s="2" t="s">
        <v>564</v>
      </c>
      <c r="O1075" s="2" t="s">
        <v>570</v>
      </c>
      <c r="P1075" s="2" t="s">
        <v>579</v>
      </c>
      <c r="Q1075" s="1" t="s">
        <v>338</v>
      </c>
      <c r="R1075" s="2" t="s">
        <v>584</v>
      </c>
      <c r="S1075" s="8">
        <f>B1075+0</f>
        <v>39954</v>
      </c>
    </row>
    <row r="1076" spans="1:19" x14ac:dyDescent="0.15">
      <c r="A1076" s="1">
        <v>36548</v>
      </c>
      <c r="B1076" s="6">
        <f>DATE(2012,12,31)-793</f>
        <v>40481</v>
      </c>
      <c r="C1076" s="2" t="s">
        <v>916</v>
      </c>
      <c r="D1076" s="1">
        <v>8</v>
      </c>
      <c r="E1076" s="1">
        <v>44.99</v>
      </c>
      <c r="F1076" s="1">
        <v>0.06</v>
      </c>
      <c r="G1076" s="2" t="s">
        <v>560</v>
      </c>
      <c r="H1076" s="10">
        <v>-40.43</v>
      </c>
      <c r="I1076" s="7">
        <v>4.9800000000000004</v>
      </c>
      <c r="J1076" s="7">
        <v>7.54</v>
      </c>
      <c r="K1076" s="2" t="s">
        <v>782</v>
      </c>
      <c r="L1076" s="16" t="s">
        <v>920</v>
      </c>
      <c r="M1076" s="4" t="s">
        <v>563</v>
      </c>
      <c r="N1076" s="2" t="s">
        <v>567</v>
      </c>
      <c r="O1076" s="2" t="s">
        <v>568</v>
      </c>
      <c r="P1076" s="2" t="s">
        <v>573</v>
      </c>
      <c r="Q1076" s="1" t="s">
        <v>416</v>
      </c>
      <c r="R1076" s="2" t="s">
        <v>585</v>
      </c>
      <c r="S1076" s="8">
        <f>B1076+2</f>
        <v>40483</v>
      </c>
    </row>
    <row r="1077" spans="1:19" x14ac:dyDescent="0.15">
      <c r="A1077" s="1">
        <v>39585</v>
      </c>
      <c r="B1077" s="6">
        <f>DATE(2012,12,31)-368</f>
        <v>40906</v>
      </c>
      <c r="C1077" s="2" t="s">
        <v>915</v>
      </c>
      <c r="D1077" s="1">
        <v>32</v>
      </c>
      <c r="E1077" s="1">
        <v>166.17</v>
      </c>
      <c r="F1077" s="1">
        <v>0.01</v>
      </c>
      <c r="G1077" s="2" t="s">
        <v>560</v>
      </c>
      <c r="H1077" s="10">
        <v>-22.74</v>
      </c>
      <c r="I1077" s="7">
        <v>5.08</v>
      </c>
      <c r="J1077" s="7">
        <v>3.63</v>
      </c>
      <c r="K1077" s="2" t="s">
        <v>782</v>
      </c>
      <c r="L1077" s="16" t="s">
        <v>920</v>
      </c>
      <c r="M1077" s="4" t="s">
        <v>563</v>
      </c>
      <c r="N1077" s="2" t="s">
        <v>567</v>
      </c>
      <c r="O1077" s="2" t="s">
        <v>570</v>
      </c>
      <c r="P1077" s="2" t="s">
        <v>579</v>
      </c>
      <c r="Q1077" s="1" t="s">
        <v>395</v>
      </c>
      <c r="R1077" s="2" t="s">
        <v>584</v>
      </c>
      <c r="S1077" s="8">
        <f>B1077+1</f>
        <v>40907</v>
      </c>
    </row>
    <row r="1078" spans="1:19" x14ac:dyDescent="0.15">
      <c r="A1078" s="1">
        <v>41793</v>
      </c>
      <c r="B1078" s="6">
        <f>DATE(2012,12,31)-1326</f>
        <v>39948</v>
      </c>
      <c r="C1078" s="2" t="s">
        <v>913</v>
      </c>
      <c r="D1078" s="1">
        <v>48</v>
      </c>
      <c r="E1078" s="1">
        <v>1286.8699999999999</v>
      </c>
      <c r="F1078" s="1">
        <v>0.05</v>
      </c>
      <c r="G1078" s="2" t="s">
        <v>560</v>
      </c>
      <c r="H1078" s="10">
        <v>384.38</v>
      </c>
      <c r="I1078" s="7">
        <v>26.48</v>
      </c>
      <c r="J1078" s="7">
        <v>6.93</v>
      </c>
      <c r="K1078" s="2" t="s">
        <v>855</v>
      </c>
      <c r="L1078" s="16" t="s">
        <v>920</v>
      </c>
      <c r="M1078" s="4" t="s">
        <v>563</v>
      </c>
      <c r="N1078" s="2" t="s">
        <v>565</v>
      </c>
      <c r="O1078" s="2" t="s">
        <v>570</v>
      </c>
      <c r="P1078" s="2" t="s">
        <v>579</v>
      </c>
      <c r="Q1078" s="1" t="s">
        <v>97</v>
      </c>
      <c r="R1078" s="2" t="s">
        <v>585</v>
      </c>
      <c r="S1078" s="8">
        <f>B1078+1</f>
        <v>39949</v>
      </c>
    </row>
    <row r="1079" spans="1:19" x14ac:dyDescent="0.15">
      <c r="A1079" s="1">
        <v>42949</v>
      </c>
      <c r="B1079" s="6">
        <f>DATE(2012,12,31)-1320</f>
        <v>39954</v>
      </c>
      <c r="C1079" s="2" t="s">
        <v>915</v>
      </c>
      <c r="D1079" s="1">
        <v>40</v>
      </c>
      <c r="E1079" s="1">
        <v>202.11</v>
      </c>
      <c r="F1079" s="1">
        <v>0.08</v>
      </c>
      <c r="G1079" s="2" t="s">
        <v>560</v>
      </c>
      <c r="H1079" s="10">
        <v>-17.489999999999998</v>
      </c>
      <c r="I1079" s="7">
        <v>5</v>
      </c>
      <c r="J1079" s="7">
        <v>3.39</v>
      </c>
      <c r="K1079" s="2" t="s">
        <v>855</v>
      </c>
      <c r="L1079" s="16" t="s">
        <v>920</v>
      </c>
      <c r="M1079" s="4" t="s">
        <v>563</v>
      </c>
      <c r="N1079" s="2" t="s">
        <v>565</v>
      </c>
      <c r="O1079" s="2" t="s">
        <v>568</v>
      </c>
      <c r="P1079" s="2" t="s">
        <v>580</v>
      </c>
      <c r="Q1079" s="1" t="s">
        <v>73</v>
      </c>
      <c r="R1079" s="2" t="s">
        <v>584</v>
      </c>
      <c r="S1079" s="8">
        <f>B1079+1</f>
        <v>39955</v>
      </c>
    </row>
    <row r="1080" spans="1:19" x14ac:dyDescent="0.15">
      <c r="A1080" s="1">
        <v>42949</v>
      </c>
      <c r="B1080" s="6">
        <f>DATE(2012,12,31)-1320</f>
        <v>39954</v>
      </c>
      <c r="C1080" s="2" t="s">
        <v>915</v>
      </c>
      <c r="D1080" s="1">
        <v>49</v>
      </c>
      <c r="E1080" s="1">
        <v>630.99</v>
      </c>
      <c r="F1080" s="1">
        <v>7.0000000000000007E-2</v>
      </c>
      <c r="G1080" s="2" t="s">
        <v>560</v>
      </c>
      <c r="H1080" s="10">
        <v>-114.63990000000001</v>
      </c>
      <c r="I1080" s="7">
        <v>12.99</v>
      </c>
      <c r="J1080" s="7">
        <v>9.44</v>
      </c>
      <c r="K1080" s="2" t="s">
        <v>855</v>
      </c>
      <c r="L1080" s="16" t="s">
        <v>920</v>
      </c>
      <c r="M1080" s="4" t="s">
        <v>563</v>
      </c>
      <c r="N1080" s="2" t="s">
        <v>565</v>
      </c>
      <c r="O1080" s="2" t="s">
        <v>569</v>
      </c>
      <c r="P1080" s="2" t="s">
        <v>583</v>
      </c>
      <c r="Q1080" s="1" t="s">
        <v>607</v>
      </c>
      <c r="R1080" s="2" t="s">
        <v>589</v>
      </c>
      <c r="S1080" s="8">
        <f>B1080+2</f>
        <v>39956</v>
      </c>
    </row>
    <row r="1081" spans="1:19" x14ac:dyDescent="0.15">
      <c r="A1081" s="1">
        <v>43044</v>
      </c>
      <c r="B1081" s="6">
        <f>DATE(2012,12,31)-1171</f>
        <v>40103</v>
      </c>
      <c r="C1081" s="2" t="s">
        <v>914</v>
      </c>
      <c r="D1081" s="1">
        <v>23</v>
      </c>
      <c r="E1081" s="1">
        <v>103.5</v>
      </c>
      <c r="F1081" s="1">
        <v>0.06</v>
      </c>
      <c r="G1081" s="2" t="s">
        <v>560</v>
      </c>
      <c r="H1081" s="10">
        <v>-73.070999999999998</v>
      </c>
      <c r="I1081" s="7">
        <v>4.24</v>
      </c>
      <c r="J1081" s="7">
        <v>5.41</v>
      </c>
      <c r="K1081" s="2" t="s">
        <v>872</v>
      </c>
      <c r="L1081" s="16" t="s">
        <v>920</v>
      </c>
      <c r="M1081" s="4" t="s">
        <v>563</v>
      </c>
      <c r="N1081" s="2" t="s">
        <v>564</v>
      </c>
      <c r="O1081" s="2" t="s">
        <v>568</v>
      </c>
      <c r="P1081" s="2" t="s">
        <v>88</v>
      </c>
      <c r="Q1081" s="1" t="s">
        <v>491</v>
      </c>
      <c r="R1081" s="2" t="s">
        <v>585</v>
      </c>
      <c r="S1081" s="8">
        <f>B1081+2</f>
        <v>40105</v>
      </c>
    </row>
    <row r="1082" spans="1:19" x14ac:dyDescent="0.15">
      <c r="A1082" s="1">
        <v>43044</v>
      </c>
      <c r="B1082" s="6">
        <f>DATE(2012,12,31)-1171</f>
        <v>40103</v>
      </c>
      <c r="C1082" s="2" t="s">
        <v>914</v>
      </c>
      <c r="D1082" s="1">
        <v>3</v>
      </c>
      <c r="E1082" s="1">
        <v>19707.2</v>
      </c>
      <c r="F1082" s="1">
        <v>0.04</v>
      </c>
      <c r="G1082" s="2" t="s">
        <v>560</v>
      </c>
      <c r="H1082" s="10">
        <v>-12557.997599999999</v>
      </c>
      <c r="I1082" s="7">
        <v>6783.02</v>
      </c>
      <c r="J1082" s="7">
        <v>24.49</v>
      </c>
      <c r="K1082" s="2" t="s">
        <v>872</v>
      </c>
      <c r="L1082" s="16" t="s">
        <v>920</v>
      </c>
      <c r="M1082" s="4" t="s">
        <v>563</v>
      </c>
      <c r="N1082" s="2" t="s">
        <v>564</v>
      </c>
      <c r="O1082" s="2" t="s">
        <v>569</v>
      </c>
      <c r="P1082" s="2" t="s">
        <v>583</v>
      </c>
      <c r="Q1082" s="1" t="s">
        <v>141</v>
      </c>
      <c r="R1082" s="2" t="s">
        <v>590</v>
      </c>
      <c r="S1082" s="8">
        <f>B1082+2</f>
        <v>40105</v>
      </c>
    </row>
    <row r="1083" spans="1:19" x14ac:dyDescent="0.15">
      <c r="A1083" s="1">
        <v>46048</v>
      </c>
      <c r="B1083" s="6">
        <f>DATE(2012,12,31)-20</f>
        <v>41254</v>
      </c>
      <c r="C1083" s="2" t="s">
        <v>914</v>
      </c>
      <c r="D1083" s="1">
        <v>10</v>
      </c>
      <c r="E1083" s="1">
        <v>135.77000000000001</v>
      </c>
      <c r="F1083" s="1">
        <v>0.05</v>
      </c>
      <c r="G1083" s="2" t="s">
        <v>561</v>
      </c>
      <c r="H1083" s="10">
        <v>0.52999999999999758</v>
      </c>
      <c r="I1083" s="7">
        <v>12.98</v>
      </c>
      <c r="J1083" s="7">
        <v>3.14</v>
      </c>
      <c r="K1083" s="2" t="s">
        <v>872</v>
      </c>
      <c r="L1083" s="16" t="s">
        <v>920</v>
      </c>
      <c r="M1083" s="4" t="s">
        <v>563</v>
      </c>
      <c r="N1083" s="2" t="s">
        <v>564</v>
      </c>
      <c r="O1083" s="2" t="s">
        <v>568</v>
      </c>
      <c r="P1083" s="2" t="s">
        <v>89</v>
      </c>
      <c r="Q1083" s="1" t="s">
        <v>258</v>
      </c>
      <c r="R1083" s="2" t="s">
        <v>587</v>
      </c>
      <c r="S1083" s="8">
        <f>B1083+2</f>
        <v>41256</v>
      </c>
    </row>
    <row r="1084" spans="1:19" x14ac:dyDescent="0.15">
      <c r="A1084" s="1">
        <v>46048</v>
      </c>
      <c r="B1084" s="6">
        <f>DATE(2012,12,31)-20</f>
        <v>41254</v>
      </c>
      <c r="C1084" s="2" t="s">
        <v>914</v>
      </c>
      <c r="D1084" s="1">
        <v>35</v>
      </c>
      <c r="E1084" s="1">
        <v>447.25</v>
      </c>
      <c r="F1084" s="1">
        <v>0.08</v>
      </c>
      <c r="G1084" s="2" t="s">
        <v>560</v>
      </c>
      <c r="H1084" s="10">
        <v>-15.92</v>
      </c>
      <c r="I1084" s="7">
        <v>13.48</v>
      </c>
      <c r="J1084" s="7">
        <v>4.51</v>
      </c>
      <c r="K1084" s="2" t="s">
        <v>872</v>
      </c>
      <c r="L1084" s="16" t="s">
        <v>920</v>
      </c>
      <c r="M1084" s="4" t="s">
        <v>563</v>
      </c>
      <c r="N1084" s="2" t="s">
        <v>564</v>
      </c>
      <c r="O1084" s="2" t="s">
        <v>568</v>
      </c>
      <c r="P1084" s="2" t="s">
        <v>577</v>
      </c>
      <c r="Q1084" s="1" t="s">
        <v>371</v>
      </c>
      <c r="R1084" s="2" t="s">
        <v>585</v>
      </c>
      <c r="S1084" s="8">
        <f>B1084+2</f>
        <v>41256</v>
      </c>
    </row>
    <row r="1085" spans="1:19" x14ac:dyDescent="0.15">
      <c r="A1085" s="1">
        <v>48354</v>
      </c>
      <c r="B1085" s="6">
        <f>DATE(2012,12,31)-621</f>
        <v>40653</v>
      </c>
      <c r="C1085" s="2" t="s">
        <v>914</v>
      </c>
      <c r="D1085" s="1">
        <v>25</v>
      </c>
      <c r="E1085" s="1">
        <v>1387.29</v>
      </c>
      <c r="F1085" s="1">
        <v>0.03</v>
      </c>
      <c r="G1085" s="2" t="s">
        <v>561</v>
      </c>
      <c r="H1085" s="10">
        <v>405.64</v>
      </c>
      <c r="I1085" s="7">
        <v>55.48</v>
      </c>
      <c r="J1085" s="7">
        <v>14.3</v>
      </c>
      <c r="K1085" s="2" t="s">
        <v>783</v>
      </c>
      <c r="L1085" s="16" t="s">
        <v>920</v>
      </c>
      <c r="M1085" s="4" t="s">
        <v>563</v>
      </c>
      <c r="N1085" s="2" t="s">
        <v>564</v>
      </c>
      <c r="O1085" s="2" t="s">
        <v>568</v>
      </c>
      <c r="P1085" s="2" t="s">
        <v>573</v>
      </c>
      <c r="Q1085" s="1" t="s">
        <v>682</v>
      </c>
      <c r="R1085" s="2" t="s">
        <v>585</v>
      </c>
      <c r="S1085" s="8">
        <f>B1085+1</f>
        <v>40654</v>
      </c>
    </row>
    <row r="1086" spans="1:19" x14ac:dyDescent="0.15">
      <c r="A1086" s="1">
        <v>48416</v>
      </c>
      <c r="B1086" s="6">
        <f>DATE(2012,12,31)-1274</f>
        <v>40000</v>
      </c>
      <c r="C1086" s="2" t="s">
        <v>915</v>
      </c>
      <c r="D1086" s="1">
        <v>23</v>
      </c>
      <c r="E1086" s="1">
        <v>167.66</v>
      </c>
      <c r="F1086" s="1">
        <v>0.01</v>
      </c>
      <c r="G1086" s="2" t="s">
        <v>560</v>
      </c>
      <c r="H1086" s="10">
        <v>-15.48</v>
      </c>
      <c r="I1086" s="7">
        <v>6.68</v>
      </c>
      <c r="J1086" s="7">
        <v>4.91</v>
      </c>
      <c r="K1086" s="2" t="s">
        <v>759</v>
      </c>
      <c r="L1086" s="16" t="s">
        <v>920</v>
      </c>
      <c r="M1086" s="4" t="s">
        <v>563</v>
      </c>
      <c r="N1086" s="2" t="s">
        <v>565</v>
      </c>
      <c r="O1086" s="2" t="s">
        <v>568</v>
      </c>
      <c r="P1086" s="2" t="s">
        <v>573</v>
      </c>
      <c r="Q1086" s="1" t="s">
        <v>118</v>
      </c>
      <c r="R1086" s="2" t="s">
        <v>585</v>
      </c>
      <c r="S1086" s="8">
        <f>B1086+2</f>
        <v>40002</v>
      </c>
    </row>
    <row r="1087" spans="1:19" x14ac:dyDescent="0.15">
      <c r="A1087" s="1">
        <v>49798</v>
      </c>
      <c r="B1087" s="6">
        <f>DATE(2012,12,31)-23</f>
        <v>41251</v>
      </c>
      <c r="C1087" s="2" t="s">
        <v>917</v>
      </c>
      <c r="D1087" s="1">
        <v>5</v>
      </c>
      <c r="E1087" s="1">
        <v>1424.95</v>
      </c>
      <c r="F1087" s="1">
        <v>0.09</v>
      </c>
      <c r="G1087" s="2" t="s">
        <v>562</v>
      </c>
      <c r="H1087" s="10">
        <v>-517.83000000000004</v>
      </c>
      <c r="I1087" s="7">
        <v>280.98</v>
      </c>
      <c r="J1087" s="7">
        <v>57</v>
      </c>
      <c r="K1087" s="2" t="s">
        <v>783</v>
      </c>
      <c r="L1087" s="16" t="s">
        <v>920</v>
      </c>
      <c r="M1087" s="4" t="s">
        <v>563</v>
      </c>
      <c r="N1087" s="2" t="s">
        <v>564</v>
      </c>
      <c r="O1087" s="2" t="s">
        <v>570</v>
      </c>
      <c r="P1087" s="2" t="s">
        <v>574</v>
      </c>
      <c r="Q1087" s="1" t="s">
        <v>28</v>
      </c>
      <c r="R1087" s="2" t="s">
        <v>586</v>
      </c>
      <c r="S1087" s="8">
        <f>B1087+1</f>
        <v>41252</v>
      </c>
    </row>
    <row r="1088" spans="1:19" x14ac:dyDescent="0.15">
      <c r="A1088" s="1">
        <v>49798</v>
      </c>
      <c r="B1088" s="6">
        <f>DATE(2012,12,31)-23</f>
        <v>41251</v>
      </c>
      <c r="C1088" s="2" t="s">
        <v>917</v>
      </c>
      <c r="D1088" s="1">
        <v>29</v>
      </c>
      <c r="E1088" s="1">
        <v>321.5</v>
      </c>
      <c r="F1088" s="1">
        <v>0.03</v>
      </c>
      <c r="G1088" s="2" t="s">
        <v>560</v>
      </c>
      <c r="H1088" s="10">
        <v>20.309999999999999</v>
      </c>
      <c r="I1088" s="7">
        <v>10.98</v>
      </c>
      <c r="J1088" s="7">
        <v>3.37</v>
      </c>
      <c r="K1088" s="2" t="s">
        <v>783</v>
      </c>
      <c r="L1088" s="16" t="s">
        <v>920</v>
      </c>
      <c r="M1088" s="4" t="s">
        <v>563</v>
      </c>
      <c r="N1088" s="2" t="s">
        <v>564</v>
      </c>
      <c r="O1088" s="2" t="s">
        <v>568</v>
      </c>
      <c r="P1088" s="2" t="s">
        <v>89</v>
      </c>
      <c r="Q1088" s="1" t="s">
        <v>676</v>
      </c>
      <c r="R1088" s="2" t="s">
        <v>587</v>
      </c>
      <c r="S1088" s="8">
        <f>B1088+0</f>
        <v>41251</v>
      </c>
    </row>
    <row r="1089" spans="1:19" x14ac:dyDescent="0.15">
      <c r="A1089" s="1">
        <v>50470</v>
      </c>
      <c r="B1089" s="6">
        <f>DATE(2012,12,31)-861</f>
        <v>40413</v>
      </c>
      <c r="C1089" s="2" t="s">
        <v>916</v>
      </c>
      <c r="D1089" s="1">
        <v>38</v>
      </c>
      <c r="E1089" s="1">
        <v>827.83</v>
      </c>
      <c r="F1089" s="1">
        <v>0.09</v>
      </c>
      <c r="G1089" s="2" t="s">
        <v>560</v>
      </c>
      <c r="H1089" s="10">
        <v>-57.73</v>
      </c>
      <c r="I1089" s="7">
        <v>22.99</v>
      </c>
      <c r="J1089" s="7">
        <v>8.99</v>
      </c>
      <c r="K1089" s="2" t="s">
        <v>759</v>
      </c>
      <c r="L1089" s="16" t="s">
        <v>920</v>
      </c>
      <c r="M1089" s="4" t="s">
        <v>563</v>
      </c>
      <c r="N1089" s="2" t="s">
        <v>565</v>
      </c>
      <c r="O1089" s="2" t="s">
        <v>568</v>
      </c>
      <c r="P1089" s="2" t="s">
        <v>571</v>
      </c>
      <c r="Q1089" s="1" t="s">
        <v>38</v>
      </c>
      <c r="R1089" s="2" t="s">
        <v>587</v>
      </c>
      <c r="S1089" s="8">
        <f>B1089+5</f>
        <v>40418</v>
      </c>
    </row>
    <row r="1090" spans="1:19" x14ac:dyDescent="0.15">
      <c r="A1090" s="1">
        <v>52900</v>
      </c>
      <c r="B1090" s="6">
        <f>DATE(2012,12,31)-591</f>
        <v>40683</v>
      </c>
      <c r="C1090" s="2" t="s">
        <v>913</v>
      </c>
      <c r="D1090" s="1">
        <v>16</v>
      </c>
      <c r="E1090" s="1">
        <v>101.14</v>
      </c>
      <c r="F1090" s="1">
        <v>0</v>
      </c>
      <c r="G1090" s="2" t="s">
        <v>560</v>
      </c>
      <c r="H1090" s="10">
        <v>-32.619999999999997</v>
      </c>
      <c r="I1090" s="7">
        <v>5.98</v>
      </c>
      <c r="J1090" s="7">
        <v>5.46</v>
      </c>
      <c r="K1090" s="2" t="s">
        <v>799</v>
      </c>
      <c r="L1090" s="16" t="s">
        <v>920</v>
      </c>
      <c r="M1090" s="4" t="s">
        <v>563</v>
      </c>
      <c r="N1090" s="2" t="s">
        <v>564</v>
      </c>
      <c r="O1090" s="2" t="s">
        <v>568</v>
      </c>
      <c r="P1090" s="2" t="s">
        <v>573</v>
      </c>
      <c r="Q1090" s="1" t="s">
        <v>358</v>
      </c>
      <c r="R1090" s="2" t="s">
        <v>585</v>
      </c>
      <c r="S1090" s="8">
        <f>B1090+2</f>
        <v>40685</v>
      </c>
    </row>
    <row r="1091" spans="1:19" x14ac:dyDescent="0.15">
      <c r="A1091" s="1">
        <v>57572</v>
      </c>
      <c r="B1091" s="6">
        <f>DATE(2012,12,31)-538</f>
        <v>40736</v>
      </c>
      <c r="C1091" s="2" t="s">
        <v>914</v>
      </c>
      <c r="D1091" s="1">
        <v>30</v>
      </c>
      <c r="E1091" s="1">
        <v>139.08000000000001</v>
      </c>
      <c r="F1091" s="1">
        <v>0.1</v>
      </c>
      <c r="G1091" s="2" t="s">
        <v>560</v>
      </c>
      <c r="H1091" s="10">
        <v>-120.04</v>
      </c>
      <c r="I1091" s="7">
        <v>4.9800000000000004</v>
      </c>
      <c r="J1091" s="7">
        <v>4.62</v>
      </c>
      <c r="K1091" s="2" t="s">
        <v>799</v>
      </c>
      <c r="L1091" s="16" t="s">
        <v>920</v>
      </c>
      <c r="M1091" s="4" t="s">
        <v>563</v>
      </c>
      <c r="N1091" s="2" t="s">
        <v>564</v>
      </c>
      <c r="O1091" s="2" t="s">
        <v>569</v>
      </c>
      <c r="P1091" s="2" t="s">
        <v>572</v>
      </c>
      <c r="Q1091" s="1" t="s">
        <v>418</v>
      </c>
      <c r="R1091" s="2" t="s">
        <v>587</v>
      </c>
      <c r="S1091" s="8">
        <f>B1091+2</f>
        <v>40738</v>
      </c>
    </row>
    <row r="1092" spans="1:19" x14ac:dyDescent="0.15">
      <c r="A1092" s="1">
        <v>57572</v>
      </c>
      <c r="B1092" s="6">
        <f>DATE(2012,12,31)-538</f>
        <v>40736</v>
      </c>
      <c r="C1092" s="2" t="s">
        <v>914</v>
      </c>
      <c r="D1092" s="1">
        <v>9</v>
      </c>
      <c r="E1092" s="1">
        <v>75.28</v>
      </c>
      <c r="F1092" s="1">
        <v>0</v>
      </c>
      <c r="G1092" s="2" t="s">
        <v>560</v>
      </c>
      <c r="H1092" s="10">
        <v>-17.22</v>
      </c>
      <c r="I1092" s="7">
        <v>7.64</v>
      </c>
      <c r="J1092" s="7">
        <v>5.83</v>
      </c>
      <c r="K1092" s="2" t="s">
        <v>799</v>
      </c>
      <c r="L1092" s="16" t="s">
        <v>920</v>
      </c>
      <c r="M1092" s="4" t="s">
        <v>563</v>
      </c>
      <c r="N1092" s="2" t="s">
        <v>564</v>
      </c>
      <c r="O1092" s="2" t="s">
        <v>568</v>
      </c>
      <c r="P1092" s="2" t="s">
        <v>573</v>
      </c>
      <c r="Q1092" s="1" t="s">
        <v>83</v>
      </c>
      <c r="R1092" s="2" t="s">
        <v>584</v>
      </c>
      <c r="S1092" s="8">
        <f>B1092+1</f>
        <v>40737</v>
      </c>
    </row>
    <row r="1093" spans="1:19" x14ac:dyDescent="0.15">
      <c r="A1093" s="1">
        <v>57766</v>
      </c>
      <c r="B1093" s="6">
        <f>DATE(2012,12,31)-976</f>
        <v>40298</v>
      </c>
      <c r="C1093" s="2" t="s">
        <v>913</v>
      </c>
      <c r="D1093" s="1">
        <v>17</v>
      </c>
      <c r="E1093" s="1">
        <v>517.98</v>
      </c>
      <c r="F1093" s="1">
        <v>0.05</v>
      </c>
      <c r="G1093" s="2" t="s">
        <v>560</v>
      </c>
      <c r="H1093" s="10">
        <v>-85.32</v>
      </c>
      <c r="I1093" s="7">
        <v>30.53</v>
      </c>
      <c r="J1093" s="7">
        <v>19.989999999999998</v>
      </c>
      <c r="K1093" s="2" t="s">
        <v>816</v>
      </c>
      <c r="L1093" s="16" t="s">
        <v>920</v>
      </c>
      <c r="M1093" s="4" t="s">
        <v>563</v>
      </c>
      <c r="N1093" s="2" t="s">
        <v>566</v>
      </c>
      <c r="O1093" s="2" t="s">
        <v>568</v>
      </c>
      <c r="P1093" s="2" t="s">
        <v>582</v>
      </c>
      <c r="Q1093" s="1" t="s">
        <v>554</v>
      </c>
      <c r="R1093" s="2" t="s">
        <v>585</v>
      </c>
      <c r="S1093" s="8">
        <f>B1093+3</f>
        <v>40301</v>
      </c>
    </row>
    <row r="1094" spans="1:19" x14ac:dyDescent="0.15">
      <c r="A1094" s="1">
        <v>58566</v>
      </c>
      <c r="B1094" s="6">
        <f>DATE(2012,12,31)-496</f>
        <v>40778</v>
      </c>
      <c r="C1094" s="2" t="s">
        <v>915</v>
      </c>
      <c r="D1094" s="1">
        <v>45</v>
      </c>
      <c r="E1094" s="1">
        <v>4680.8900000000003</v>
      </c>
      <c r="F1094" s="1">
        <v>7.0000000000000007E-2</v>
      </c>
      <c r="G1094" s="2" t="s">
        <v>560</v>
      </c>
      <c r="H1094" s="10">
        <v>693.01</v>
      </c>
      <c r="I1094" s="7">
        <v>105.29</v>
      </c>
      <c r="J1094" s="7">
        <v>10.119999999999999</v>
      </c>
      <c r="K1094" s="2" t="s">
        <v>816</v>
      </c>
      <c r="L1094" s="16" t="s">
        <v>920</v>
      </c>
      <c r="M1094" s="4" t="s">
        <v>563</v>
      </c>
      <c r="N1094" s="2" t="s">
        <v>566</v>
      </c>
      <c r="O1094" s="2" t="s">
        <v>570</v>
      </c>
      <c r="P1094" s="2" t="s">
        <v>579</v>
      </c>
      <c r="Q1094" s="1" t="s">
        <v>185</v>
      </c>
      <c r="R1094" s="2" t="s">
        <v>590</v>
      </c>
      <c r="S1094" s="8">
        <f>B1094+1</f>
        <v>40779</v>
      </c>
    </row>
    <row r="1095" spans="1:19" x14ac:dyDescent="0.15">
      <c r="A1095" s="1">
        <v>58566</v>
      </c>
      <c r="B1095" s="6">
        <f>DATE(2012,12,31)-496</f>
        <v>40778</v>
      </c>
      <c r="C1095" s="2" t="s">
        <v>915</v>
      </c>
      <c r="D1095" s="1">
        <v>42</v>
      </c>
      <c r="E1095" s="1">
        <v>2414.9944999999998</v>
      </c>
      <c r="F1095" s="1">
        <v>0.01</v>
      </c>
      <c r="G1095" s="2" t="s">
        <v>561</v>
      </c>
      <c r="H1095" s="10">
        <v>624.70799999999997</v>
      </c>
      <c r="I1095" s="7">
        <v>65.989999999999995</v>
      </c>
      <c r="J1095" s="7">
        <v>4.99</v>
      </c>
      <c r="K1095" s="2" t="s">
        <v>816</v>
      </c>
      <c r="L1095" s="16" t="s">
        <v>920</v>
      </c>
      <c r="M1095" s="4" t="s">
        <v>563</v>
      </c>
      <c r="N1095" s="2" t="s">
        <v>566</v>
      </c>
      <c r="O1095" s="2" t="s">
        <v>569</v>
      </c>
      <c r="P1095" s="2" t="s">
        <v>87</v>
      </c>
      <c r="Q1095" s="1" t="s">
        <v>124</v>
      </c>
      <c r="R1095" s="2" t="s">
        <v>585</v>
      </c>
      <c r="S1095" s="8">
        <f>B1095+2</f>
        <v>40780</v>
      </c>
    </row>
    <row r="1096" spans="1:19" x14ac:dyDescent="0.15">
      <c r="A1096" s="1">
        <v>58658</v>
      </c>
      <c r="B1096" s="6">
        <f>DATE(2012,12,31)-203</f>
        <v>41071</v>
      </c>
      <c r="C1096" s="2" t="s">
        <v>914</v>
      </c>
      <c r="D1096" s="1">
        <v>7</v>
      </c>
      <c r="E1096" s="1">
        <v>883.23</v>
      </c>
      <c r="F1096" s="1">
        <v>0.09</v>
      </c>
      <c r="G1096" s="2" t="s">
        <v>562</v>
      </c>
      <c r="H1096" s="10">
        <v>-404.36</v>
      </c>
      <c r="I1096" s="7">
        <v>120.98</v>
      </c>
      <c r="J1096" s="7">
        <v>58.64</v>
      </c>
      <c r="K1096" s="2" t="s">
        <v>816</v>
      </c>
      <c r="L1096" s="16" t="s">
        <v>920</v>
      </c>
      <c r="M1096" s="4" t="s">
        <v>563</v>
      </c>
      <c r="N1096" s="2" t="s">
        <v>566</v>
      </c>
      <c r="O1096" s="2" t="s">
        <v>570</v>
      </c>
      <c r="P1096" s="2" t="s">
        <v>581</v>
      </c>
      <c r="Q1096" s="1" t="s">
        <v>398</v>
      </c>
      <c r="R1096" s="2" t="s">
        <v>588</v>
      </c>
      <c r="S1096" s="8">
        <f>B1096+1</f>
        <v>41072</v>
      </c>
    </row>
    <row r="1097" spans="1:19" x14ac:dyDescent="0.15">
      <c r="A1097" s="1">
        <v>58658</v>
      </c>
      <c r="B1097" s="6">
        <f>DATE(2012,12,31)-203</f>
        <v>41071</v>
      </c>
      <c r="C1097" s="2" t="s">
        <v>914</v>
      </c>
      <c r="D1097" s="1">
        <v>41</v>
      </c>
      <c r="E1097" s="1">
        <v>917.25</v>
      </c>
      <c r="F1097" s="1">
        <v>0.01</v>
      </c>
      <c r="G1097" s="2" t="s">
        <v>560</v>
      </c>
      <c r="H1097" s="10">
        <v>-103.75</v>
      </c>
      <c r="I1097" s="7">
        <v>20.97</v>
      </c>
      <c r="J1097" s="7">
        <v>6.5</v>
      </c>
      <c r="K1097" s="2" t="s">
        <v>816</v>
      </c>
      <c r="L1097" s="16" t="s">
        <v>920</v>
      </c>
      <c r="M1097" s="4" t="s">
        <v>563</v>
      </c>
      <c r="N1097" s="2" t="s">
        <v>566</v>
      </c>
      <c r="O1097" s="2" t="s">
        <v>569</v>
      </c>
      <c r="P1097" s="2" t="s">
        <v>572</v>
      </c>
      <c r="Q1097" s="1" t="s">
        <v>397</v>
      </c>
      <c r="R1097" s="2" t="s">
        <v>585</v>
      </c>
      <c r="S1097" s="8">
        <f>B1097+1</f>
        <v>41072</v>
      </c>
    </row>
    <row r="1098" spans="1:19" x14ac:dyDescent="0.15">
      <c r="A1098" s="1">
        <v>58658</v>
      </c>
      <c r="B1098" s="6">
        <f>DATE(2012,12,31)-203</f>
        <v>41071</v>
      </c>
      <c r="C1098" s="2" t="s">
        <v>914</v>
      </c>
      <c r="D1098" s="1">
        <v>46</v>
      </c>
      <c r="E1098" s="1">
        <v>760.80099999999993</v>
      </c>
      <c r="F1098" s="1">
        <v>0.1</v>
      </c>
      <c r="G1098" s="2" t="s">
        <v>560</v>
      </c>
      <c r="H1098" s="10">
        <v>348.58799999999997</v>
      </c>
      <c r="I1098" s="7">
        <v>20.99</v>
      </c>
      <c r="J1098" s="7">
        <v>0.99</v>
      </c>
      <c r="K1098" s="2" t="s">
        <v>816</v>
      </c>
      <c r="L1098" s="16" t="s">
        <v>920</v>
      </c>
      <c r="M1098" s="4" t="s">
        <v>563</v>
      </c>
      <c r="N1098" s="2" t="s">
        <v>566</v>
      </c>
      <c r="O1098" s="2" t="s">
        <v>569</v>
      </c>
      <c r="P1098" s="2" t="s">
        <v>87</v>
      </c>
      <c r="Q1098" s="1" t="s">
        <v>399</v>
      </c>
      <c r="R1098" s="2" t="s">
        <v>584</v>
      </c>
      <c r="S1098" s="8">
        <f>B1098+2</f>
        <v>41073</v>
      </c>
    </row>
    <row r="1099" spans="1:19" x14ac:dyDescent="0.15">
      <c r="A1099" s="1">
        <v>59139</v>
      </c>
      <c r="B1099" s="6">
        <f>DATE(2012,12,31)-702</f>
        <v>40572</v>
      </c>
      <c r="C1099" s="2" t="s">
        <v>917</v>
      </c>
      <c r="D1099" s="1">
        <v>12</v>
      </c>
      <c r="E1099" s="1">
        <v>849.51</v>
      </c>
      <c r="F1099" s="1">
        <v>0.05</v>
      </c>
      <c r="G1099" s="2" t="s">
        <v>560</v>
      </c>
      <c r="H1099" s="10">
        <v>163.1</v>
      </c>
      <c r="I1099" s="7">
        <v>70.97</v>
      </c>
      <c r="J1099" s="7">
        <v>3.5</v>
      </c>
      <c r="K1099" s="2" t="s">
        <v>799</v>
      </c>
      <c r="L1099" s="16" t="s">
        <v>920</v>
      </c>
      <c r="M1099" s="4" t="s">
        <v>563</v>
      </c>
      <c r="N1099" s="2" t="s">
        <v>564</v>
      </c>
      <c r="O1099" s="2" t="s">
        <v>568</v>
      </c>
      <c r="P1099" s="2" t="s">
        <v>576</v>
      </c>
      <c r="Q1099" s="1" t="s">
        <v>231</v>
      </c>
      <c r="R1099" s="2" t="s">
        <v>585</v>
      </c>
      <c r="S1099" s="8">
        <f>B1099+1</f>
        <v>40573</v>
      </c>
    </row>
    <row r="1100" spans="1:19" x14ac:dyDescent="0.15">
      <c r="A1100" s="1">
        <v>59139</v>
      </c>
      <c r="B1100" s="6">
        <f>DATE(2012,12,31)-702</f>
        <v>40572</v>
      </c>
      <c r="C1100" s="2" t="s">
        <v>917</v>
      </c>
      <c r="D1100" s="1">
        <v>38</v>
      </c>
      <c r="E1100" s="1">
        <v>189.49</v>
      </c>
      <c r="F1100" s="1">
        <v>0.09</v>
      </c>
      <c r="G1100" s="2" t="s">
        <v>560</v>
      </c>
      <c r="H1100" s="10">
        <v>-13.708</v>
      </c>
      <c r="I1100" s="7">
        <v>5.34</v>
      </c>
      <c r="J1100" s="7">
        <v>2.99</v>
      </c>
      <c r="K1100" s="2" t="s">
        <v>799</v>
      </c>
      <c r="L1100" s="16" t="s">
        <v>920</v>
      </c>
      <c r="M1100" s="4" t="s">
        <v>563</v>
      </c>
      <c r="N1100" s="2" t="s">
        <v>564</v>
      </c>
      <c r="O1100" s="2" t="s">
        <v>568</v>
      </c>
      <c r="P1100" s="2" t="s">
        <v>88</v>
      </c>
      <c r="Q1100" s="1" t="s">
        <v>193</v>
      </c>
      <c r="R1100" s="2" t="s">
        <v>585</v>
      </c>
      <c r="S1100" s="8">
        <f>B1100+1</f>
        <v>40573</v>
      </c>
    </row>
    <row r="1101" spans="1:19" x14ac:dyDescent="0.15">
      <c r="A1101" s="1">
        <v>59942</v>
      </c>
      <c r="B1101" s="6">
        <f>DATE(2012,12,31)-1422</f>
        <v>39852</v>
      </c>
      <c r="C1101" s="2" t="s">
        <v>914</v>
      </c>
      <c r="D1101" s="1">
        <v>47</v>
      </c>
      <c r="E1101" s="1">
        <v>714.46</v>
      </c>
      <c r="F1101" s="1">
        <v>7.0000000000000007E-2</v>
      </c>
      <c r="G1101" s="2" t="s">
        <v>560</v>
      </c>
      <c r="H1101" s="10">
        <v>-268.64999999999998</v>
      </c>
      <c r="I1101" s="7">
        <v>15.98</v>
      </c>
      <c r="J1101" s="7">
        <v>8.99</v>
      </c>
      <c r="K1101" s="2" t="s">
        <v>782</v>
      </c>
      <c r="L1101" s="16" t="s">
        <v>920</v>
      </c>
      <c r="M1101" s="4" t="s">
        <v>563</v>
      </c>
      <c r="N1101" s="2" t="s">
        <v>567</v>
      </c>
      <c r="O1101" s="2" t="s">
        <v>569</v>
      </c>
      <c r="P1101" s="2" t="s">
        <v>572</v>
      </c>
      <c r="Q1101" s="1" t="s">
        <v>12</v>
      </c>
      <c r="R1101" s="2" t="s">
        <v>587</v>
      </c>
      <c r="S1101" s="8">
        <f>B1101+2</f>
        <v>39854</v>
      </c>
    </row>
    <row r="1102" spans="1:19" x14ac:dyDescent="0.15">
      <c r="A1102" s="1">
        <v>5350</v>
      </c>
      <c r="B1102" s="6">
        <f>DATE(2012,12,31)-814</f>
        <v>40460</v>
      </c>
      <c r="C1102" s="2" t="s">
        <v>916</v>
      </c>
      <c r="D1102" s="1">
        <v>39</v>
      </c>
      <c r="E1102" s="1">
        <v>434.73</v>
      </c>
      <c r="F1102" s="1">
        <v>0.03</v>
      </c>
      <c r="G1102" s="2" t="s">
        <v>560</v>
      </c>
      <c r="H1102" s="10">
        <v>-12.2</v>
      </c>
      <c r="I1102" s="7">
        <v>11.33</v>
      </c>
      <c r="J1102" s="7">
        <v>6.12</v>
      </c>
      <c r="K1102" s="2" t="s">
        <v>795</v>
      </c>
      <c r="L1102" s="16" t="s">
        <v>920</v>
      </c>
      <c r="M1102" s="4" t="s">
        <v>563</v>
      </c>
      <c r="N1102" s="2" t="s">
        <v>566</v>
      </c>
      <c r="O1102" s="2" t="s">
        <v>568</v>
      </c>
      <c r="P1102" s="2" t="s">
        <v>576</v>
      </c>
      <c r="Q1102" s="1" t="s">
        <v>634</v>
      </c>
      <c r="R1102" s="2" t="s">
        <v>589</v>
      </c>
      <c r="S1102" s="8">
        <f>B1102+2</f>
        <v>40462</v>
      </c>
    </row>
    <row r="1103" spans="1:19" x14ac:dyDescent="0.15">
      <c r="A1103" s="1">
        <v>6850</v>
      </c>
      <c r="B1103" s="6">
        <f>DATE(2012,12,31)-1054</f>
        <v>40220</v>
      </c>
      <c r="C1103" s="2" t="s">
        <v>913</v>
      </c>
      <c r="D1103" s="1">
        <v>8</v>
      </c>
      <c r="E1103" s="1">
        <v>81.56</v>
      </c>
      <c r="F1103" s="1">
        <v>0.08</v>
      </c>
      <c r="G1103" s="2" t="s">
        <v>560</v>
      </c>
      <c r="H1103" s="10">
        <v>-7.23</v>
      </c>
      <c r="I1103" s="7">
        <v>10.01</v>
      </c>
      <c r="J1103" s="7">
        <v>1.99</v>
      </c>
      <c r="K1103" s="2" t="s">
        <v>810</v>
      </c>
      <c r="L1103" s="16" t="s">
        <v>920</v>
      </c>
      <c r="M1103" s="4" t="s">
        <v>563</v>
      </c>
      <c r="N1103" s="2" t="s">
        <v>567</v>
      </c>
      <c r="O1103" s="2" t="s">
        <v>569</v>
      </c>
      <c r="P1103" s="2" t="s">
        <v>572</v>
      </c>
      <c r="Q1103" s="1" t="s">
        <v>331</v>
      </c>
      <c r="R1103" s="2" t="s">
        <v>587</v>
      </c>
      <c r="S1103" s="8">
        <f>B1103+0</f>
        <v>40220</v>
      </c>
    </row>
    <row r="1104" spans="1:19" x14ac:dyDescent="0.15">
      <c r="A1104" s="1">
        <v>6850</v>
      </c>
      <c r="B1104" s="6">
        <f>DATE(2012,12,31)-1054</f>
        <v>40220</v>
      </c>
      <c r="C1104" s="2" t="s">
        <v>913</v>
      </c>
      <c r="D1104" s="1">
        <v>41</v>
      </c>
      <c r="E1104" s="1">
        <v>2088.5</v>
      </c>
      <c r="F1104" s="1">
        <v>0.08</v>
      </c>
      <c r="G1104" s="2" t="s">
        <v>560</v>
      </c>
      <c r="H1104" s="10">
        <v>675.07</v>
      </c>
      <c r="I1104" s="7">
        <v>51.98</v>
      </c>
      <c r="J1104" s="7">
        <v>10.17</v>
      </c>
      <c r="K1104" s="2" t="s">
        <v>810</v>
      </c>
      <c r="L1104" s="16" t="s">
        <v>920</v>
      </c>
      <c r="M1104" s="4" t="s">
        <v>563</v>
      </c>
      <c r="N1104" s="2" t="s">
        <v>567</v>
      </c>
      <c r="O1104" s="2" t="s">
        <v>569</v>
      </c>
      <c r="P1104" s="2" t="s">
        <v>583</v>
      </c>
      <c r="Q1104" s="1" t="s">
        <v>476</v>
      </c>
      <c r="R1104" s="2" t="s">
        <v>589</v>
      </c>
      <c r="S1104" s="8">
        <f>B1104+1</f>
        <v>40221</v>
      </c>
    </row>
    <row r="1105" spans="1:19" x14ac:dyDescent="0.15">
      <c r="A1105" s="1">
        <v>6850</v>
      </c>
      <c r="B1105" s="6">
        <f>DATE(2012,12,31)-1054</f>
        <v>40220</v>
      </c>
      <c r="C1105" s="2" t="s">
        <v>913</v>
      </c>
      <c r="D1105" s="1">
        <v>34</v>
      </c>
      <c r="E1105" s="1">
        <v>2126.7199999999998</v>
      </c>
      <c r="F1105" s="1">
        <v>0.05</v>
      </c>
      <c r="G1105" s="2" t="s">
        <v>560</v>
      </c>
      <c r="H1105" s="10">
        <v>150.04</v>
      </c>
      <c r="I1105" s="7">
        <v>64.98</v>
      </c>
      <c r="J1105" s="7">
        <v>6.88</v>
      </c>
      <c r="K1105" s="2" t="s">
        <v>810</v>
      </c>
      <c r="L1105" s="16" t="s">
        <v>920</v>
      </c>
      <c r="M1105" s="4" t="s">
        <v>563</v>
      </c>
      <c r="N1105" s="2" t="s">
        <v>567</v>
      </c>
      <c r="O1105" s="2" t="s">
        <v>568</v>
      </c>
      <c r="P1105" s="2" t="s">
        <v>577</v>
      </c>
      <c r="Q1105" s="1" t="s">
        <v>132</v>
      </c>
      <c r="R1105" s="2" t="s">
        <v>585</v>
      </c>
      <c r="S1105" s="8">
        <f>B1105+2</f>
        <v>40222</v>
      </c>
    </row>
    <row r="1106" spans="1:19" x14ac:dyDescent="0.15">
      <c r="A1106" s="1">
        <v>6850</v>
      </c>
      <c r="B1106" s="6">
        <f>DATE(2012,12,31)-1054</f>
        <v>40220</v>
      </c>
      <c r="C1106" s="2" t="s">
        <v>913</v>
      </c>
      <c r="D1106" s="1">
        <v>26</v>
      </c>
      <c r="E1106" s="1">
        <v>3753.72</v>
      </c>
      <c r="F1106" s="1">
        <v>0.05</v>
      </c>
      <c r="G1106" s="2" t="s">
        <v>562</v>
      </c>
      <c r="H1106" s="10">
        <v>-556.25</v>
      </c>
      <c r="I1106" s="7">
        <v>138.75</v>
      </c>
      <c r="J1106" s="7">
        <v>52.42</v>
      </c>
      <c r="K1106" s="2" t="s">
        <v>810</v>
      </c>
      <c r="L1106" s="16" t="s">
        <v>920</v>
      </c>
      <c r="M1106" s="4" t="s">
        <v>563</v>
      </c>
      <c r="N1106" s="2" t="s">
        <v>567</v>
      </c>
      <c r="O1106" s="2" t="s">
        <v>570</v>
      </c>
      <c r="P1106" s="2" t="s">
        <v>578</v>
      </c>
      <c r="Q1106" s="1" t="s">
        <v>280</v>
      </c>
      <c r="R1106" s="2" t="s">
        <v>588</v>
      </c>
      <c r="S1106" s="8">
        <f>B1106+1</f>
        <v>40221</v>
      </c>
    </row>
    <row r="1107" spans="1:19" x14ac:dyDescent="0.15">
      <c r="A1107" s="1">
        <v>7488</v>
      </c>
      <c r="B1107" s="6">
        <f>DATE(2012,12,31)-242</f>
        <v>41032</v>
      </c>
      <c r="C1107" s="2" t="s">
        <v>917</v>
      </c>
      <c r="D1107" s="1">
        <v>9</v>
      </c>
      <c r="E1107" s="1">
        <v>26.09</v>
      </c>
      <c r="F1107" s="1">
        <v>0.08</v>
      </c>
      <c r="G1107" s="2" t="s">
        <v>560</v>
      </c>
      <c r="H1107" s="10">
        <v>-1.76</v>
      </c>
      <c r="I1107" s="7">
        <v>2.84</v>
      </c>
      <c r="J1107" s="7">
        <v>0.93</v>
      </c>
      <c r="K1107" s="2" t="s">
        <v>810</v>
      </c>
      <c r="L1107" s="16" t="s">
        <v>920</v>
      </c>
      <c r="M1107" s="4" t="s">
        <v>563</v>
      </c>
      <c r="N1107" s="2" t="s">
        <v>567</v>
      </c>
      <c r="O1107" s="2" t="s">
        <v>568</v>
      </c>
      <c r="P1107" s="2" t="s">
        <v>571</v>
      </c>
      <c r="Q1107" s="1" t="s">
        <v>198</v>
      </c>
      <c r="R1107" s="2" t="s">
        <v>584</v>
      </c>
      <c r="S1107" s="8">
        <f>B1107+1</f>
        <v>41033</v>
      </c>
    </row>
    <row r="1108" spans="1:19" x14ac:dyDescent="0.15">
      <c r="A1108" s="1">
        <v>7552</v>
      </c>
      <c r="B1108" s="6">
        <f>DATE(2012,12,31)-112</f>
        <v>41162</v>
      </c>
      <c r="C1108" s="2" t="s">
        <v>917</v>
      </c>
      <c r="D1108" s="1">
        <v>47</v>
      </c>
      <c r="E1108" s="1">
        <v>1406.49</v>
      </c>
      <c r="F1108" s="1">
        <v>0.02</v>
      </c>
      <c r="G1108" s="2" t="s">
        <v>560</v>
      </c>
      <c r="H1108" s="10">
        <v>332.52</v>
      </c>
      <c r="I1108" s="7">
        <v>28.15</v>
      </c>
      <c r="J1108" s="7">
        <v>6.17</v>
      </c>
      <c r="K1108" s="2" t="s">
        <v>810</v>
      </c>
      <c r="L1108" s="16" t="s">
        <v>920</v>
      </c>
      <c r="M1108" s="4" t="s">
        <v>563</v>
      </c>
      <c r="N1108" s="2" t="s">
        <v>567</v>
      </c>
      <c r="O1108" s="2" t="s">
        <v>568</v>
      </c>
      <c r="P1108" s="2" t="s">
        <v>571</v>
      </c>
      <c r="Q1108" s="1" t="s">
        <v>387</v>
      </c>
      <c r="R1108" s="2" t="s">
        <v>587</v>
      </c>
      <c r="S1108" s="8">
        <f>B1108+2</f>
        <v>41164</v>
      </c>
    </row>
    <row r="1109" spans="1:19" x14ac:dyDescent="0.15">
      <c r="A1109" s="1">
        <v>7552</v>
      </c>
      <c r="B1109" s="6">
        <f>DATE(2012,12,31)-112</f>
        <v>41162</v>
      </c>
      <c r="C1109" s="2" t="s">
        <v>917</v>
      </c>
      <c r="D1109" s="1">
        <v>49</v>
      </c>
      <c r="E1109" s="1">
        <v>587.71</v>
      </c>
      <c r="F1109" s="1">
        <v>0.09</v>
      </c>
      <c r="G1109" s="2" t="s">
        <v>560</v>
      </c>
      <c r="H1109" s="10">
        <v>26.28</v>
      </c>
      <c r="I1109" s="7">
        <v>12.98</v>
      </c>
      <c r="J1109" s="7">
        <v>3.14</v>
      </c>
      <c r="K1109" s="2" t="s">
        <v>810</v>
      </c>
      <c r="L1109" s="16" t="s">
        <v>920</v>
      </c>
      <c r="M1109" s="4" t="s">
        <v>563</v>
      </c>
      <c r="N1109" s="2" t="s">
        <v>567</v>
      </c>
      <c r="O1109" s="2" t="s">
        <v>568</v>
      </c>
      <c r="P1109" s="2" t="s">
        <v>89</v>
      </c>
      <c r="Q1109" s="1" t="s">
        <v>258</v>
      </c>
      <c r="R1109" s="2" t="s">
        <v>587</v>
      </c>
      <c r="S1109" s="8">
        <f>B1109+2</f>
        <v>41164</v>
      </c>
    </row>
    <row r="1110" spans="1:19" x14ac:dyDescent="0.15">
      <c r="A1110" s="1">
        <v>7585</v>
      </c>
      <c r="B1110" s="6">
        <f>DATE(2012,12,31)-592</f>
        <v>40682</v>
      </c>
      <c r="C1110" s="2" t="s">
        <v>913</v>
      </c>
      <c r="D1110" s="1">
        <v>34</v>
      </c>
      <c r="E1110" s="1">
        <v>650.1395</v>
      </c>
      <c r="F1110" s="1">
        <v>0</v>
      </c>
      <c r="G1110" s="2" t="s">
        <v>560</v>
      </c>
      <c r="H1110" s="10">
        <v>22.571999999999999</v>
      </c>
      <c r="I1110" s="7">
        <v>20.99</v>
      </c>
      <c r="J1110" s="7">
        <v>1.25</v>
      </c>
      <c r="K1110" s="2" t="s">
        <v>773</v>
      </c>
      <c r="L1110" s="16" t="s">
        <v>920</v>
      </c>
      <c r="M1110" s="4" t="s">
        <v>563</v>
      </c>
      <c r="N1110" s="2" t="s">
        <v>566</v>
      </c>
      <c r="O1110" s="2" t="s">
        <v>569</v>
      </c>
      <c r="P1110" s="2" t="s">
        <v>87</v>
      </c>
      <c r="Q1110" s="1" t="s">
        <v>606</v>
      </c>
      <c r="R1110" s="2" t="s">
        <v>587</v>
      </c>
      <c r="S1110" s="8">
        <f>B1110+2</f>
        <v>40684</v>
      </c>
    </row>
    <row r="1111" spans="1:19" x14ac:dyDescent="0.15">
      <c r="A1111" s="1">
        <v>8289</v>
      </c>
      <c r="B1111" s="6">
        <f>DATE(2012,12,31)-64</f>
        <v>41210</v>
      </c>
      <c r="C1111" s="2" t="s">
        <v>916</v>
      </c>
      <c r="D1111" s="1">
        <v>38</v>
      </c>
      <c r="E1111" s="1">
        <v>572.74</v>
      </c>
      <c r="F1111" s="1">
        <v>0</v>
      </c>
      <c r="G1111" s="2" t="s">
        <v>560</v>
      </c>
      <c r="H1111" s="10">
        <v>53.311999999999998</v>
      </c>
      <c r="I1111" s="7">
        <v>14.45</v>
      </c>
      <c r="J1111" s="7">
        <v>7.17</v>
      </c>
      <c r="K1111" s="2" t="s">
        <v>773</v>
      </c>
      <c r="L1111" s="16" t="s">
        <v>920</v>
      </c>
      <c r="M1111" s="4" t="s">
        <v>563</v>
      </c>
      <c r="N1111" s="2" t="s">
        <v>566</v>
      </c>
      <c r="O1111" s="2" t="s">
        <v>568</v>
      </c>
      <c r="P1111" s="2" t="s">
        <v>88</v>
      </c>
      <c r="Q1111" s="1" t="s">
        <v>59</v>
      </c>
      <c r="R1111" s="2" t="s">
        <v>585</v>
      </c>
      <c r="S1111" s="8">
        <f>B1111+0</f>
        <v>41210</v>
      </c>
    </row>
    <row r="1112" spans="1:19" x14ac:dyDescent="0.15">
      <c r="A1112" s="1">
        <v>8679</v>
      </c>
      <c r="B1112" s="6">
        <f>DATE(2012,12,31)-239</f>
        <v>41035</v>
      </c>
      <c r="C1112" s="2" t="s">
        <v>914</v>
      </c>
      <c r="D1112" s="1">
        <v>46</v>
      </c>
      <c r="E1112" s="1">
        <v>446.06</v>
      </c>
      <c r="F1112" s="1">
        <v>0.01</v>
      </c>
      <c r="G1112" s="2" t="s">
        <v>560</v>
      </c>
      <c r="H1112" s="10">
        <v>161.32</v>
      </c>
      <c r="I1112" s="7">
        <v>9.11</v>
      </c>
      <c r="J1112" s="7">
        <v>2.15</v>
      </c>
      <c r="K1112" s="2" t="s">
        <v>870</v>
      </c>
      <c r="L1112" s="16" t="s">
        <v>920</v>
      </c>
      <c r="M1112" s="4" t="s">
        <v>563</v>
      </c>
      <c r="N1112" s="2" t="s">
        <v>564</v>
      </c>
      <c r="O1112" s="2" t="s">
        <v>568</v>
      </c>
      <c r="P1112" s="2" t="s">
        <v>573</v>
      </c>
      <c r="Q1112" s="1" t="s">
        <v>404</v>
      </c>
      <c r="R1112" s="2" t="s">
        <v>584</v>
      </c>
      <c r="S1112" s="8">
        <f>B1112+1</f>
        <v>41036</v>
      </c>
    </row>
    <row r="1113" spans="1:19" x14ac:dyDescent="0.15">
      <c r="A1113" s="1">
        <v>12481</v>
      </c>
      <c r="B1113" s="6">
        <f>DATE(2012,12,31)-540</f>
        <v>40734</v>
      </c>
      <c r="C1113" s="2" t="s">
        <v>917</v>
      </c>
      <c r="D1113" s="1">
        <v>37</v>
      </c>
      <c r="E1113" s="1">
        <v>744</v>
      </c>
      <c r="F1113" s="1">
        <v>0.04</v>
      </c>
      <c r="G1113" s="2" t="s">
        <v>560</v>
      </c>
      <c r="H1113" s="10">
        <v>215.8</v>
      </c>
      <c r="I1113" s="7">
        <v>20.89</v>
      </c>
      <c r="J1113" s="7">
        <v>1.99</v>
      </c>
      <c r="K1113" s="2" t="s">
        <v>810</v>
      </c>
      <c r="L1113" s="16" t="s">
        <v>920</v>
      </c>
      <c r="M1113" s="4" t="s">
        <v>563</v>
      </c>
      <c r="N1113" s="2" t="s">
        <v>567</v>
      </c>
      <c r="O1113" s="2" t="s">
        <v>569</v>
      </c>
      <c r="P1113" s="2" t="s">
        <v>572</v>
      </c>
      <c r="Q1113" s="1" t="s">
        <v>741</v>
      </c>
      <c r="R1113" s="2" t="s">
        <v>587</v>
      </c>
      <c r="S1113" s="8">
        <f>B1113+2</f>
        <v>40736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showRowColHeaders="0" tabSelected="1" zoomScale="70" zoomScaleNormal="70" workbookViewId="0"/>
  </sheetViews>
  <sheetFormatPr defaultRowHeight="12.75" x14ac:dyDescent="0.1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on discount</vt:lpstr>
      <vt:lpstr>Sales in region and province</vt:lpstr>
      <vt:lpstr>Sales Of Product </vt:lpstr>
      <vt:lpstr>Total Sales In Customer segment</vt:lpstr>
      <vt:lpstr>Orders</vt:lpstr>
      <vt:lpstr>Dashboard Of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2025-11-10T19:02:40Z</dcterms:modified>
</cp:coreProperties>
</file>